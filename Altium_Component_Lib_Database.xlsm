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D:\VPM\Altium-Database-Lib-MinhNCh\"/>
    </mc:Choice>
  </mc:AlternateContent>
  <xr:revisionPtr revIDLastSave="0" documentId="13_ncr:1_{8CBA0E7C-3702-478B-929A-DA6D3E5E0601}" xr6:coauthVersionLast="47" xr6:coauthVersionMax="47" xr10:uidLastSave="{00000000-0000-0000-0000-000000000000}"/>
  <bookViews>
    <workbookView xWindow="-120" yWindow="-120" windowWidth="29040" windowHeight="15840" tabRatio="918" activeTab="1" xr2:uid="{00000000-000D-0000-FFFF-FFFF00000000}"/>
  </bookViews>
  <sheets>
    <sheet name="Information" sheetId="15" r:id="rId1"/>
    <sheet name="001 Amplifiers" sheetId="14" r:id="rId2"/>
    <sheet name="002 Audio" sheetId="16" r:id="rId3"/>
    <sheet name="003 Battery" sheetId="17" r:id="rId4"/>
    <sheet name="004 Capacitors" sheetId="18" r:id="rId5"/>
    <sheet name="005 Clock" sheetId="19" r:id="rId6"/>
    <sheet name="006 Connectors" sheetId="20" r:id="rId7"/>
    <sheet name="007 Controller" sheetId="21" r:id="rId8"/>
    <sheet name="008 Current - regulation" sheetId="22" r:id="rId9"/>
    <sheet name="009 Diode" sheetId="23" r:id="rId10"/>
    <sheet name="010 Display Modules" sheetId="24" r:id="rId11"/>
    <sheet name="011 Embedded" sheetId="25" r:id="rId12"/>
    <sheet name="012 Encoders" sheetId="26" r:id="rId13"/>
    <sheet name="013 Filters" sheetId="27" r:id="rId14"/>
    <sheet name="014 Fuses" sheetId="28" r:id="rId15"/>
    <sheet name="015 Hardware " sheetId="29" r:id="rId16"/>
    <sheet name="016 Inductors" sheetId="30" r:id="rId17"/>
    <sheet name="017 Interface" sheetId="31" r:id="rId18"/>
    <sheet name="018 Isolators" sheetId="32" r:id="rId19"/>
    <sheet name="019 LED " sheetId="33" r:id="rId20"/>
    <sheet name="020 Logic " sheetId="34" r:id="rId21"/>
    <sheet name="021 MOSFET" sheetId="35" r:id="rId22"/>
    <sheet name="022 Memory" sheetId="36" r:id="rId23"/>
    <sheet name="023 Motor Drivers Controller" sheetId="37" r:id="rId24"/>
    <sheet name="024 Optics" sheetId="38" r:id="rId25"/>
    <sheet name="025 Optoelectronics" sheetId="39" r:id="rId26"/>
    <sheet name="026 Optoisolators" sheetId="40" r:id="rId27"/>
    <sheet name="027 Osillators" sheetId="41" r:id="rId28"/>
    <sheet name="028 Power" sheetId="42" r:id="rId29"/>
    <sheet name="029 RF" sheetId="43" r:id="rId30"/>
    <sheet name="030 Relays" sheetId="44" r:id="rId31"/>
    <sheet name="031 Resistors" sheetId="51" r:id="rId32"/>
    <sheet name="032 Sensors" sheetId="46" r:id="rId33"/>
    <sheet name="033 Switches" sheetId="47" r:id="rId34"/>
    <sheet name="034 Transistors" sheetId="48" r:id="rId35"/>
    <sheet name="035 Voltage Regulators" sheetId="49" r:id="rId3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30" l="1"/>
  <c r="G5" i="30"/>
  <c r="G5" i="42"/>
  <c r="G11" i="51"/>
  <c r="G10" i="51"/>
  <c r="G4" i="30"/>
  <c r="G15" i="18"/>
  <c r="G14" i="18"/>
  <c r="G13" i="18"/>
  <c r="G12" i="18"/>
  <c r="G11" i="18"/>
  <c r="G10" i="18"/>
  <c r="G9" i="18"/>
  <c r="G2" i="42"/>
  <c r="G3" i="42"/>
  <c r="G4" i="42"/>
  <c r="G8" i="18"/>
  <c r="G7" i="18"/>
  <c r="G6" i="18"/>
  <c r="G5" i="18"/>
  <c r="G4" i="18"/>
  <c r="G3" i="18"/>
  <c r="G2" i="18"/>
  <c r="G9" i="51"/>
  <c r="G8" i="51"/>
  <c r="G7" i="51"/>
  <c r="G6" i="51"/>
  <c r="G5" i="51"/>
  <c r="G4" i="51"/>
  <c r="G2" i="30"/>
  <c r="G3" i="30"/>
  <c r="G3" i="51"/>
  <c r="G2" i="51"/>
</calcChain>
</file>

<file path=xl/sharedStrings.xml><?xml version="1.0" encoding="utf-8"?>
<sst xmlns="http://schemas.openxmlformats.org/spreadsheetml/2006/main" count="1227" uniqueCount="350">
  <si>
    <t>Value</t>
  </si>
  <si>
    <t>Library Ref</t>
  </si>
  <si>
    <t>Footprint Ref</t>
  </si>
  <si>
    <t>Package</t>
  </si>
  <si>
    <t>Description</t>
  </si>
  <si>
    <t>Manufacturer</t>
  </si>
  <si>
    <t>Product Category</t>
  </si>
  <si>
    <t>DatabaseID</t>
  </si>
  <si>
    <t>Length</t>
  </si>
  <si>
    <t>Width</t>
  </si>
  <si>
    <t>Hight</t>
  </si>
  <si>
    <t>Tolerance</t>
  </si>
  <si>
    <t>Alt-Value</t>
  </si>
  <si>
    <t>Dimension [mm]</t>
  </si>
  <si>
    <t>DC Rating</t>
  </si>
  <si>
    <t>Power Rating</t>
  </si>
  <si>
    <t>20%</t>
  </si>
  <si>
    <t>Texas Instruments</t>
  </si>
  <si>
    <t>RC4580IDR</t>
  </si>
  <si>
    <t>IC AUDIO 2 CIRCUIT 8SOIC</t>
  </si>
  <si>
    <t>Instrumentation, Op Amps, Buffer Amps</t>
  </si>
  <si>
    <t>8-SOIC</t>
  </si>
  <si>
    <t> 3.90mm</t>
  </si>
  <si>
    <t>LIBRARTY MADE BY</t>
  </si>
  <si>
    <t>LINK VIET NAM</t>
  </si>
  <si>
    <t>LINK ORIGINAL</t>
  </si>
  <si>
    <t>3.9mm × 4.9mm</t>
  </si>
  <si>
    <t>4.9mm</t>
  </si>
  <si>
    <t>https://shopee.vn/-Combo-5-chi%E1%BA%BFc-RC4580IDR-R4580I-IC-Khu%E1%BA%BFch-%C4%91%E1%BA%A1i-%C3%A2m-thanh-k%C3%A9p-SOP-8-i.10327067.23769061963</t>
  </si>
  <si>
    <t>MinhNCh</t>
  </si>
  <si>
    <t>TI SOIC-8 D0008A</t>
  </si>
  <si>
    <t>Bourns Inc.</t>
  </si>
  <si>
    <t>POT 50K OHM 1/20W CARBON LINEAR</t>
  </si>
  <si>
    <t>Rotary Potentiometers, Rheostats</t>
  </si>
  <si>
    <t>PTV112-4425A-B503</t>
  </si>
  <si>
    <t>50K</t>
  </si>
  <si>
    <t>1/20W</t>
  </si>
  <si>
    <t>25mm</t>
  </si>
  <si>
    <t>15.50mm x 12.30mm</t>
  </si>
  <si>
    <t>https://emin.vn/bournsptv112-4425a-b503-gce-rotary-panel-control-bourns-ptv112-4425a-b503-1868306/pr.html</t>
  </si>
  <si>
    <t>001 - Amplifiers</t>
  </si>
  <si>
    <t>002 - Audio</t>
  </si>
  <si>
    <t>003 - Battery</t>
  </si>
  <si>
    <t>004 - Capacitors</t>
  </si>
  <si>
    <t>005 - Clock</t>
  </si>
  <si>
    <t>006 - Connectors</t>
  </si>
  <si>
    <t>007 - Controller</t>
  </si>
  <si>
    <t>008 - Current – regulation</t>
  </si>
  <si>
    <t>009 – Diode</t>
  </si>
  <si>
    <t>010 – Display Modules</t>
  </si>
  <si>
    <t>011 – Embedded</t>
  </si>
  <si>
    <t>012 – Encoders</t>
  </si>
  <si>
    <t>013 – Filters</t>
  </si>
  <si>
    <t>014 – Fuses</t>
  </si>
  <si>
    <t>015 – Hardware</t>
  </si>
  <si>
    <t>016 – Inductors</t>
  </si>
  <si>
    <t>017 – Interface</t>
  </si>
  <si>
    <t>018 – Isolators</t>
  </si>
  <si>
    <t>019 – LED</t>
  </si>
  <si>
    <t>020 – Logic</t>
  </si>
  <si>
    <t>021 – MOSFET</t>
  </si>
  <si>
    <t>022 – Memory</t>
  </si>
  <si>
    <t>023 – Motor Drivers Controller</t>
  </si>
  <si>
    <t>024 – Optics</t>
  </si>
  <si>
    <t>025 – Optoelectronics</t>
  </si>
  <si>
    <t>026 – Optoisolators</t>
  </si>
  <si>
    <t>027 – Osillators</t>
  </si>
  <si>
    <t>028 – Power</t>
  </si>
  <si>
    <t>029 – RF</t>
  </si>
  <si>
    <t>030 – Relays</t>
  </si>
  <si>
    <t>031 – Resistors</t>
  </si>
  <si>
    <t>032 – Sensors</t>
  </si>
  <si>
    <t>033 – Switches</t>
  </si>
  <si>
    <t>034 – Transistors</t>
  </si>
  <si>
    <t>035 – Voltage Regulators</t>
  </si>
  <si>
    <t>001 - 0001</t>
  </si>
  <si>
    <t xml:space="preserve">Ctrl+I </t>
  </si>
  <si>
    <t>quay lại trang này</t>
  </si>
  <si>
    <t>028-0001</t>
  </si>
  <si>
    <t>URB2412YMD-40WR3</t>
  </si>
  <si>
    <t>MORNSUN Guangzhou S&amp; T URB2412YMD-40WR3</t>
  </si>
  <si>
    <t>DIP,25.4x25.4mm</t>
  </si>
  <si>
    <t>40W</t>
  </si>
  <si>
    <t>9V~36V</t>
  </si>
  <si>
    <t>Mornsun</t>
  </si>
  <si>
    <t>030-0001</t>
  </si>
  <si>
    <t>XLSEMI</t>
  </si>
  <si>
    <t>XL6007E1</t>
  </si>
  <si>
    <t>SOIC-8</t>
  </si>
  <si>
    <t>3.6V~24V</t>
  </si>
  <si>
    <t>028-0002</t>
  </si>
  <si>
    <t>XLSEMI XL6007E1</t>
  </si>
  <si>
    <t>POTENTIOMETER DUAL GANG</t>
  </si>
  <si>
    <t>016-0001</t>
  </si>
  <si>
    <t>CYH127-33UH</t>
  </si>
  <si>
    <t>SHOU HAN</t>
  </si>
  <si>
    <t>3A 33uH ±20% 64.8mΩ SMD,12.3x12.3mm Inductors (SMD) ROHS</t>
  </si>
  <si>
    <t>Inductors, Coils, Chokes/Inductors (SMD)</t>
  </si>
  <si>
    <t>33uH</t>
  </si>
  <si>
    <t>±20%</t>
  </si>
  <si>
    <t>3A</t>
  </si>
  <si>
    <t>SMD,12.3x12.3mm</t>
  </si>
  <si>
    <t>12.3x12.3mm</t>
  </si>
  <si>
    <t>8mm</t>
  </si>
  <si>
    <t>030-0002</t>
  </si>
  <si>
    <t>YAGEO</t>
  </si>
  <si>
    <t>RC0603FR-0710KL</t>
  </si>
  <si>
    <t>100mW Thick Film Resistor 75V ±100ppm/℃ ±1% 10kΩ 0603 Chip Resistor - Surface Mount ROHS</t>
  </si>
  <si>
    <t>Resistors/Chip Resistor - Surface Mount</t>
  </si>
  <si>
    <t>10K</t>
  </si>
  <si>
    <t>±1%</t>
  </si>
  <si>
    <t>75V</t>
  </si>
  <si>
    <t>100mW</t>
  </si>
  <si>
    <t>0603</t>
  </si>
  <si>
    <t>030-0003</t>
  </si>
  <si>
    <t>100mW Thick Film Resistor 75V ±100ppm/℃ ±1% 4.7kΩ 0603 Chip Resistor - Surface Mount ROHS</t>
  </si>
  <si>
    <t>4.7kΩ</t>
  </si>
  <si>
    <t>RC0603FR-074K7L</t>
  </si>
  <si>
    <t>030-0004</t>
  </si>
  <si>
    <t>RC0603FR-07120RL</t>
  </si>
  <si>
    <t>100mW Thick Film Resistor 75V ±100ppm/℃ ±1% 120Ω 0603 Chip Resistor - Surface Mount ROHS</t>
  </si>
  <si>
    <t>120Ω</t>
  </si>
  <si>
    <t>RC0603FR-07100KL</t>
  </si>
  <si>
    <t>030-0005</t>
  </si>
  <si>
    <t>100mW Thick Film Resistor 75V ±100ppm/℃ ±1% 100kΩ 0603 Chip Resistor - Surface Mount ROHS</t>
  </si>
  <si>
    <t>100kΩ</t>
  </si>
  <si>
    <t>RC0805FR-0722KL</t>
  </si>
  <si>
    <t>030-0006</t>
  </si>
  <si>
    <t>125mW Thick Film Resistor 150V ±100ppm/℃ ±1% 22kΩ 0805 Chip Resistor - Surface Mount ROHS</t>
  </si>
  <si>
    <t>125mW</t>
  </si>
  <si>
    <t>150V</t>
  </si>
  <si>
    <t>22kΩ</t>
  </si>
  <si>
    <t>030-0007</t>
  </si>
  <si>
    <t>PTV09A-4025F-B503</t>
  </si>
  <si>
    <t>11.00mm x 9.70mm</t>
  </si>
  <si>
    <t>030-0008</t>
  </si>
  <si>
    <t>RC0805FR-0747RL</t>
  </si>
  <si>
    <t>125mW Thick Film Resistor 150V ±100ppm/℃ ±1% 47Ω 0805 Chip Resistor - Surface Mount ROHS</t>
  </si>
  <si>
    <t>47Ω</t>
  </si>
  <si>
    <t>0805</t>
  </si>
  <si>
    <t>004-0001</t>
  </si>
  <si>
    <t>CC0603JRNPO9BN470</t>
  </si>
  <si>
    <t>50V 47pF NP0 ±5% 0603 Multilayer Ceramic Capacitors MLCC - SMD/SMT ROHS</t>
  </si>
  <si>
    <t>Capacitors/Multilayer Ceramic Capacitors MLCC - SMD/SMT</t>
  </si>
  <si>
    <t>47pF</t>
  </si>
  <si>
    <t>±5%</t>
  </si>
  <si>
    <t>50V</t>
  </si>
  <si>
    <t>004-0002</t>
  </si>
  <si>
    <t>CC0603JRNPO9BN200</t>
  </si>
  <si>
    <t>50V 20pF NP0 ±5% 0603 Multilayer Ceramic Capacitors MLCC - SMD/SMT ROHS</t>
  </si>
  <si>
    <t>20pF</t>
  </si>
  <si>
    <t>004-0003</t>
  </si>
  <si>
    <t>EEUFR1E470</t>
  </si>
  <si>
    <t>PANASONIC</t>
  </si>
  <si>
    <t>47uF 25V 300mΩ@100kHz ±20% 280mA@100kHz Through Hole,D5xL11mm Aluminum Electrolytic Capacitors - Leaded ROHS</t>
  </si>
  <si>
    <t>Capacitors/Aluminum Electrolytic Capacitors - Leaded</t>
  </si>
  <si>
    <t>47uF</t>
  </si>
  <si>
    <t>25V</t>
  </si>
  <si>
    <t>Through Hole,D5xL11mm</t>
  </si>
  <si>
    <t>EEUFM1E470</t>
  </si>
  <si>
    <t>004-0004</t>
  </si>
  <si>
    <t>47uF 25V ±20% 196mA@120Hz Through Hole,D5xL11mm Aluminum Electrolytic Capacitors - Leaded ROHS</t>
  </si>
  <si>
    <t>EEUFM1E101</t>
  </si>
  <si>
    <t>100uF 25V ±20% Through Hole,D6.3xL11.2mm Aluminum Electrolytic Capacitors - Leaded ROHS</t>
  </si>
  <si>
    <t>100uF</t>
  </si>
  <si>
    <t>Through Hole,D6.3xL11.2mm</t>
  </si>
  <si>
    <t>50YXF1MEFC5X11</t>
  </si>
  <si>
    <t>004-0006</t>
  </si>
  <si>
    <t>004-0005</t>
  </si>
  <si>
    <t>Rubycon</t>
  </si>
  <si>
    <t>1uF 50V ±20% Through Hole,D5xL11mm Aluminum Electrolytic Capacitors - Leaded ROHS</t>
  </si>
  <si>
    <t>1uF</t>
  </si>
  <si>
    <t>004-0007</t>
  </si>
  <si>
    <t>028-0003</t>
  </si>
  <si>
    <t>A1215S-2WR2</t>
  </si>
  <si>
    <t>YLPTEC</t>
  </si>
  <si>
    <t>SIP,19.5x7mm Isolated Power Modules ROHS</t>
  </si>
  <si>
    <t>Power Modules/Isolated Power Modules</t>
  </si>
  <si>
    <t>SIP,19.5x7mm</t>
  </si>
  <si>
    <t>10.8V~13.2V</t>
  </si>
  <si>
    <t>2W</t>
  </si>
  <si>
    <t>±15V</t>
  </si>
  <si>
    <t>CL10A225KB8NNNC</t>
  </si>
  <si>
    <t>Samsung Electro-Mechanics</t>
  </si>
  <si>
    <t>50V 2.2uF X5R ±10% 0603 Multilayer Ceramic Capacitors MLCC - SMD/SMT ROHS</t>
  </si>
  <si>
    <t>2.2uF</t>
  </si>
  <si>
    <t>±10%</t>
  </si>
  <si>
    <t>CL10B105KA8NNNC</t>
  </si>
  <si>
    <t>004-0008</t>
  </si>
  <si>
    <t>25V 1uF X7R ±10% 0603 Multilayer Ceramic Capacitors MLCC - SMD/SMT ROHS</t>
  </si>
  <si>
    <t>004-0009</t>
  </si>
  <si>
    <t>CL21A226MAYNNNE</t>
  </si>
  <si>
    <t>25V 22uF X5R ±20% 0805 Multilayer Ceramic Capacitors MLCC - SMD/SMT ROHS</t>
  </si>
  <si>
    <t>22uF</t>
  </si>
  <si>
    <t>004-0010</t>
  </si>
  <si>
    <t>CL21A106KAYNNNE</t>
  </si>
  <si>
    <t>25V 10uF X5R ±10% 0805 Multilayer Ceramic Capacitors MLCC - SMD/SMT ROHS</t>
  </si>
  <si>
    <t>10uF</t>
  </si>
  <si>
    <t>004-0011</t>
  </si>
  <si>
    <t>004-0012</t>
  </si>
  <si>
    <t>EEUFR1H101</t>
  </si>
  <si>
    <t>100uF 50V 61mΩ@100kHz ±20% 870mA@100kHz Through Hole,D8xL11.5mm Aluminum Electrolytic Capacitors - Leaded ROHS</t>
  </si>
  <si>
    <t>Through Hole,D8xL11.5mm</t>
  </si>
  <si>
    <t>EEUFM1H471</t>
  </si>
  <si>
    <t>470uF 50V 22mΩ@100kHz ±20% 2.26A@100kHz Through Hole,D12.5xL20mm Aluminum Electrolytic Capacitors - Leaded ROHS</t>
  </si>
  <si>
    <t>470uF</t>
  </si>
  <si>
    <t>Through Hole,D12.5xL20mm</t>
  </si>
  <si>
    <t>Capacitor</t>
  </si>
  <si>
    <t>Tạo PCB</t>
  </si>
  <si>
    <t>mechanical 13 lớp 3D</t>
  </si>
  <si>
    <t>mechanical 15 lớp hình chiếu bằng</t>
  </si>
  <si>
    <t>mechanical 29  designator</t>
  </si>
  <si>
    <t>.Designator'</t>
  </si>
  <si>
    <t>MURATA GRM188 0603_1608</t>
  </si>
  <si>
    <t>MURATA GRM21B 0805_2012</t>
  </si>
  <si>
    <t>Polarised Capacitor</t>
  </si>
  <si>
    <t>CAP TH ALUM ELEC D5.00mm S2.00mm H11.00mm</t>
  </si>
  <si>
    <t>CAP TH ALUM ELEC D6.30mm S2.50mm H11.20mm</t>
  </si>
  <si>
    <t>CAP TH ALUM ELEC D8.00mm S3.50mm H11.50mm</t>
  </si>
  <si>
    <t>CAP TH ALUM ELEC D12.50mm S5.00mm H20.00mm</t>
  </si>
  <si>
    <t>SCH URB2412YMD-40WR3</t>
  </si>
  <si>
    <t>PCB URB2412YMD-40WR3</t>
  </si>
  <si>
    <t>SCH A1215S-2W</t>
  </si>
  <si>
    <t>PCB A1215S-2WR2</t>
  </si>
  <si>
    <t>Resistor</t>
  </si>
  <si>
    <t>Potentiometer</t>
  </si>
  <si>
    <t>YAGEO RES 0603_1608</t>
  </si>
  <si>
    <t>YAGEO RES 0805_2012</t>
  </si>
  <si>
    <t>PTV09A-4025F</t>
  </si>
  <si>
    <t>PTV112 4425A</t>
  </si>
  <si>
    <t>16ZLH220MEFC6.3X11</t>
  </si>
  <si>
    <t>004-0013</t>
  </si>
  <si>
    <t>220uF 16V 94mΩ@100kHz ±20% 540mA@100kHz Through Hole,D6.3xL11mm Aluminum Electrolytic Capacitors - Leaded ROHS</t>
  </si>
  <si>
    <t>220uF</t>
  </si>
  <si>
    <t>16V</t>
  </si>
  <si>
    <t>Through Hole,D6.3xL11mm</t>
  </si>
  <si>
    <t>004-0014</t>
  </si>
  <si>
    <t>0.01uF</t>
  </si>
  <si>
    <t>RC0603FR-072KL</t>
  </si>
  <si>
    <t>100mW Thick Film Resistor 75V ±100ppm/℃ ±1% 2kΩ 0603 Chip Resistor - Surface Mount ROHS</t>
  </si>
  <si>
    <t> 2kΩ</t>
  </si>
  <si>
    <t>CC0603KRX7R9BB103</t>
  </si>
  <si>
    <t>50V 10nF X7R ±10% 0603 Multilayer Ceramic Capacitors MLCC - SMD/SMT ROHS</t>
  </si>
  <si>
    <t>SS34-E3/57T</t>
  </si>
  <si>
    <t>009-0001</t>
  </si>
  <si>
    <t>Vishay Intertech</t>
  </si>
  <si>
    <t>40V 500mV@3A 3A SMC(DO-214AB) Schottky Diodes ROHS</t>
  </si>
  <si>
    <t>Diodes/Schottky Diodes</t>
  </si>
  <si>
    <t>40V</t>
  </si>
  <si>
    <t>SMC(DO-214AB)</t>
  </si>
  <si>
    <t>016-0002</t>
  </si>
  <si>
    <t>220uH</t>
  </si>
  <si>
    <t>CY75-220UH</t>
  </si>
  <si>
    <t>480mA 220uH ±10% 793mΩ SMD,7.8x7mm Inductors (SMD) ROHS</t>
  </si>
  <si>
    <t>480mA</t>
  </si>
  <si>
    <t>SMD,7.8x7mm</t>
  </si>
  <si>
    <t>5mm</t>
  </si>
  <si>
    <t>7.8x7mm</t>
  </si>
  <si>
    <t>016-0003</t>
  </si>
  <si>
    <t>CY75-22UH</t>
  </si>
  <si>
    <t>1.5A 22uH ±10% 91mΩ SMD,7.8x7mm Inductors (SMD) ROHS</t>
  </si>
  <si>
    <t>22uH</t>
  </si>
  <si>
    <t>1.5A</t>
  </si>
  <si>
    <t>Inductor</t>
  </si>
  <si>
    <t>CY75</t>
  </si>
  <si>
    <t>CAP TH ALUM ELEC D6.30mm S2.50mm H11.00mm</t>
  </si>
  <si>
    <t>DIODE TVS UNI</t>
  </si>
  <si>
    <t>DO214AB SMC</t>
  </si>
  <si>
    <t>030-0009</t>
  </si>
  <si>
    <t>030-0010</t>
  </si>
  <si>
    <t>RC0603FR-072K2L</t>
  </si>
  <si>
    <t>100mW Thick Film Resistor 75V ±100ppm/℃ ±1% 2.2kΩ 0603 Chip Resistor - Surface Mount ROHS</t>
  </si>
  <si>
    <t>2.2kΩ</t>
  </si>
  <si>
    <t>Part Number</t>
  </si>
  <si>
    <t>https://lcsc.com/product-detail/Isolated-Power-Modules_YLPTEC-URB2412YMD-40WR3_C22750044.html</t>
  </si>
  <si>
    <t>https://shopee.vn/XL6007E1-IC-%E1%BB%95n-%C3%A1p-DC-DC-60V-2A-400kHz-i.36282148.24011081898</t>
  </si>
  <si>
    <t>https://lcsc.com/product-detail/DC-DC-Converters_XLSEMI_C73334.html</t>
  </si>
  <si>
    <t>https://lcsc.com/product-detail/Isolated-Power-Modules_YLPTEC-A1215S-2WR2_C22749842.html</t>
  </si>
  <si>
    <t>https://lcsc.com/product-detail/Audio-Amplifiers_Texas-Instruments-RC4580IDR_C80100.html?s_z=n_RC4580IDR</t>
  </si>
  <si>
    <t>http://lcsc.com/product-detail/Multilayer-Ceramic-Capacitors-MLCC-SMD-SMT_YAGEO-CC0603JRNPO9BN470_C105622.html?s_z=n_cap</t>
  </si>
  <si>
    <t>https://lcsc.com/product-detail/Multilayer-Ceramic-Capacitors-MLCC-SMD-SMT_YAGEO-CC0603JRNPO9BN200_C105621.html?s_z=n_cap</t>
  </si>
  <si>
    <t>https://lcsc.com/product-detail/Aluminum-Electrolytic-Capacitors-Leaded_PANASONIC-EEUFR1E470_C407893.html?s_z=n_cap</t>
  </si>
  <si>
    <t>https://lcsc.com/product-detail/Aluminum-Electrolytic-Capacitors-Leaded_PANASONIC-EEUFM1E470_C713390.html?s_z=n_cap</t>
  </si>
  <si>
    <t>https://lcsc.com/product-detail/Aluminum-Electrolytic-Capacitors-Leaded_PANASONIC-EEUFM1E101_C713389.html?s_z=n_cap</t>
  </si>
  <si>
    <t>https://lcsc.com/product-detail/Aluminum-Electrolytic-Capacitors-Leaded_Rubycon-50YXF1MEFC5X11_C2927584.html?s_z=n_cap</t>
  </si>
  <si>
    <t>https://lcsc.com/product-detail/Multilayer-Ceramic-Capacitors-MLCC-SMD-SMT_Samsung-Electro-Mechanics-CL10A225KB8NNNC_C913904.html?s_z=n_CAP</t>
  </si>
  <si>
    <t>https://lcsc.com/product-detail/Multilayer-Ceramic-Capacitors-MLCC-SMD-SMT_Samsung-Electro-Mechanics-CL10B105KA8NNNC_C29936.html?s_z=n_CAP</t>
  </si>
  <si>
    <t>https://lcsc.com/product-detail/Multilayer-Ceramic-Capacitors-MLCC-SMD-SMT_Samsung-Electro-Mechanics-CL21A226MAYNNNE_C602037.html?s_z=n_CAP</t>
  </si>
  <si>
    <t>https://lcsc.com/product-detail/Multilayer-Ceramic-Capacitors-MLCC-SMD-SMT_Samsung-Electro-Mechanics-CL21A106KAYNNNE_C15850.html?s_z=n_CAP</t>
  </si>
  <si>
    <t>https://lcsc.com/product-detail/Aluminum-Electrolytic-Capacitors-Leaded_PANASONIC-EEUFR1H101_C178702.html?s_z=n_cap</t>
  </si>
  <si>
    <t>https://lcsc.com/product-detail/Aluminum-Electrolytic-Capacitors-Leaded_PANASONIC-EEUFM1H471_C178692.html?s_z=n_cap</t>
  </si>
  <si>
    <t>https://lcsc.com/product-detail/Aluminum-Electrolytic-Capacitors-Leaded_Rubycon-16ZLH220MEFC6-3X11_C338177.html?s_z=n_cap</t>
  </si>
  <si>
    <t>https://lcsc.com/product-detail/Multilayer-Ceramic-Capacitors-MLCC-SMD-SMT_YAGEO-CC0603KRX7R9BB103_C100042.html?s_z=n_cap</t>
  </si>
  <si>
    <t>https://lcsc.com/product-detail/Schottky-Diodes_Vishay-Intertech-SS34-E3-57T_C13354.html?s_z=n_ss34</t>
  </si>
  <si>
    <t>https://lcsc.com/product-detail/Inductors-SMD_SHOU-HAN-CY75-220UH_C2929444.html?s_z=n_inductor</t>
  </si>
  <si>
    <t>https://lcsc.com/product-detail/Inductors-SMD_SHOU-HAN-CY75-22UH_C2929439.html?s_z=n_CY75-22UH</t>
  </si>
  <si>
    <t>https://lcsc.com/product-detail/Potentiometers-Variable-Resistors_BOURNS-PTV112-4425A-B503_C7262648.html</t>
  </si>
  <si>
    <t>https://lcsc.com/product-detail/Chip-Resistor-Surface-Mount_YAGEO-RC0603FR-0710KL_C98220.html?s_z=n_res</t>
  </si>
  <si>
    <t>https://lcsc.com/product-detail/Chip-Resistor-Surface-Mount_YAGEO-RC0603FR-074K7L_C99782.html?s_z=n_res</t>
  </si>
  <si>
    <t>https://lcsc.com/product-detail/Chip-Resistor-Surface-Mount_YAGEO-RC0603FR-07120RL_C114640.html?s_z=n_res</t>
  </si>
  <si>
    <t>https://lcsc.com/product-detail/Chip-Resistor-Surface-Mount_YAGEO-RC0603FR-07100KL_C14675.html?s_z=n_res</t>
  </si>
  <si>
    <t>https://lcsc.com/product-detail/Chip-Resistor-Surface-Mount_YAGEO-RC0805FR-0722KL_C114565.html?s_z=n_res</t>
  </si>
  <si>
    <t>https://www.digikey.com/en/products/detail/bourns-inc/PTV09A-4025F-B503/3781135?msockid=06004d5069e464b52acb5b4b689b6507</t>
  </si>
  <si>
    <t>https://lcsc.com/product-detail/Chip-Resistor-Surface-Mount_YAGEO-RC0805FR-0747RL_C114541.html?s_z=n_res</t>
  </si>
  <si>
    <t>https://lcsc.com/product-detail/Chip-Resistor-Surface-Mount_YAGEO-RC0603FR-072KL_C105576.html?s_z=n_res</t>
  </si>
  <si>
    <t>https://lcsc.com/product-detail/Chip-Resistor-Surface-Mount_YAGEO-RC0603FR-072K2L_C114662.html?s_z=n_res</t>
  </si>
  <si>
    <t>019-0001</t>
  </si>
  <si>
    <t>XINGLIGHT</t>
  </si>
  <si>
    <t>XL-302SURD</t>
  </si>
  <si>
    <t>20mA 1000mcd Red Lens 620nm~630nm -20℃~+85℃ Red 35° 3mm Round Lens 50mW 2.2V Through Hole,D=3mm LED Indication - Discrete ROHS</t>
  </si>
  <si>
    <t>Optoelectronics/LED Indication - Discrete</t>
  </si>
  <si>
    <t>2.2V</t>
  </si>
  <si>
    <t>50mW</t>
  </si>
  <si>
    <t>Through Hole,D=3mm</t>
  </si>
  <si>
    <t>https://lcsc.com/product-detail/LED-Indication-Discrete_XINGLIGHT-XL-302SURD_C2895470.html?s_z=n_led%25203mm</t>
  </si>
  <si>
    <t>006-0001</t>
  </si>
  <si>
    <t>HY2.0 - 6P</t>
  </si>
  <si>
    <t>https://linhkienviet.vn/hy2-0-6p-duc-cong</t>
  </si>
  <si>
    <t>HY 2.0 straight male, clasp, pitch 2.0mm</t>
  </si>
  <si>
    <t>LED</t>
  </si>
  <si>
    <t>3MM</t>
  </si>
  <si>
    <t>6 PIN 2 PART</t>
  </si>
  <si>
    <t>016-0004</t>
  </si>
  <si>
    <t>SRR1280-221K</t>
  </si>
  <si>
    <t>FIXED IND 220UH 1.6A 400MOHM SMD</t>
  </si>
  <si>
    <t>Fixed Inductors</t>
  </si>
  <si>
    <t>1.6 A</t>
  </si>
  <si>
    <t>12.50mm x 12.50mm</t>
  </si>
  <si>
    <t>SMD,12.50x12.50mm</t>
  </si>
  <si>
    <t>https://www.digikey.com/en/products/detail/bourns-inc/SRR1280-221K/1970008</t>
  </si>
  <si>
    <t>016-0005</t>
  </si>
  <si>
    <t>SRR1280-220M</t>
  </si>
  <si>
    <t>FIXED IND 22UH 4.3A 38.6MOHM SMD</t>
  </si>
  <si>
    <t>4.3 A</t>
  </si>
  <si>
    <t>https://www.digikey.com/en/products/detail/bourns-inc/SRR1280-220M/1969996</t>
  </si>
  <si>
    <t>SRR1280</t>
  </si>
  <si>
    <t>Adjustable 2A 3.6V~24V SOIC-8-150mil DC-DC Converters ROHS</t>
  </si>
  <si>
    <t>Power Management (PMIC)/DC-DC Converters</t>
  </si>
  <si>
    <t>001 - 0002</t>
  </si>
  <si>
    <t>UTC LM386L-D08-T</t>
  </si>
  <si>
    <t>LM386L-D08-T</t>
  </si>
  <si>
    <t>1-Channel 700mWx1@8Ω DIP-8 Audio Amplifiers ROHS</t>
  </si>
  <si>
    <t>Amplifiers/Comparators/Audio Amplifiers</t>
  </si>
  <si>
    <t>DIP-8</t>
  </si>
  <si>
    <t>700mWx1@8Ω</t>
  </si>
  <si>
    <t>4V~12V</t>
  </si>
  <si>
    <t>https://shopee.vn/product/23934243/3641607554?utm_source=coccoc.com&amp;utm_medium=cpc&amp;utm_campaign=VN_COM_SEM_SHOPPING_NB_SP|Mix|All_top_shopping_QC&amp;utm_term=489613972&amp;utm_content=3641607554&amp;ctm_event_id=2517146983</t>
  </si>
  <si>
    <t>https://lcsc.com/product-detail/Audio-Amplifiers_UTC-LM386L-D08-T_C87306.html?s_z=n_LM386</t>
  </si>
  <si>
    <t>DIP08</t>
  </si>
  <si>
    <t>LM386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</si>
</sst>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Microsoft YaHei"/>
      <family val="2"/>
    </font>
    <font>
      <sz val="9"/>
      <color rgb="FF222222"/>
      <name val="Microsoft YaHei"/>
      <family val="2"/>
    </font>
    <font>
      <sz val="11"/>
      <color rgb="FF081B3A"/>
      <name val="Segoe UI"/>
      <family val="2"/>
    </font>
    <font>
      <sz val="13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9">
    <xf numFmtId="0" fontId="0" fillId="0" borderId="0" xfId="0"/>
    <xf numFmtId="49" fontId="0" fillId="0" borderId="0" xfId="0" applyNumberFormat="1"/>
    <xf numFmtId="49" fontId="1" fillId="0" borderId="0" xfId="0" applyNumberFormat="1" applyFont="1"/>
    <xf numFmtId="0" fontId="0" fillId="0" borderId="0" xfId="0" applyAlignment="1">
      <alignment horizontal="fill"/>
    </xf>
    <xf numFmtId="49" fontId="0" fillId="0" borderId="0" xfId="0" applyNumberFormat="1" applyAlignment="1">
      <alignment horizontal="fill"/>
    </xf>
    <xf numFmtId="0" fontId="3" fillId="0" borderId="1" xfId="1" applyBorder="1" applyAlignment="1">
      <alignment vertical="center"/>
    </xf>
    <xf numFmtId="0" fontId="0" fillId="2" borderId="0" xfId="0" applyFill="1"/>
    <xf numFmtId="0" fontId="4" fillId="0" borderId="0" xfId="0" applyFont="1"/>
    <xf numFmtId="0" fontId="4" fillId="0" borderId="0" xfId="0" applyFont="1" applyAlignment="1">
      <alignment horizontal="fill"/>
    </xf>
    <xf numFmtId="0" fontId="5" fillId="0" borderId="0" xfId="0" applyFont="1"/>
    <xf numFmtId="0" fontId="0" fillId="3" borderId="0" xfId="0" applyFill="1"/>
    <xf numFmtId="0" fontId="0" fillId="0" borderId="0" xfId="0" applyNumberFormat="1"/>
    <xf numFmtId="0" fontId="3" fillId="0" borderId="0" xfId="1"/>
    <xf numFmtId="0" fontId="3" fillId="0" borderId="0" xfId="1" applyAlignment="1"/>
    <xf numFmtId="0" fontId="3" fillId="0" borderId="0" xfId="1" applyAlignment="1">
      <alignment horizontal="fill"/>
    </xf>
    <xf numFmtId="0" fontId="7" fillId="0" borderId="0" xfId="0" applyFont="1" applyAlignment="1">
      <alignment vertical="center"/>
    </xf>
    <xf numFmtId="0" fontId="0" fillId="0" borderId="0" xfId="0" applyAlignment="1">
      <alignment horizontal="left"/>
    </xf>
    <xf numFmtId="0" fontId="6" fillId="0" borderId="0" xfId="0" quotePrefix="1" applyNumberFormat="1" applyFont="1" applyAlignment="1">
      <alignment horizontal="left"/>
    </xf>
    <xf numFmtId="0" fontId="6" fillId="0" borderId="0" xfId="0" applyNumberFormat="1" applyFont="1" applyAlignment="1">
      <alignment horizontal="left"/>
    </xf>
  </cellXfs>
  <cellStyles count="2">
    <cellStyle name="Hyperlink" xfId="1" builtinId="8"/>
    <cellStyle name="Normal" xfId="0" builtinId="0"/>
  </cellStyles>
  <dxfs count="40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alignment horizontal="fill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9F744613-E00A-4387-A4A6-E830E8FE8565}" name="Components337" displayName="Components337" ref="A1:T3" totalsRowShown="0">
  <tableColumns count="20">
    <tableColumn id="1" xr3:uid="{6EF0C6F7-D414-4476-A2E5-2AC53E5050CF}" name="DatabaseID" dataDxfId="39">
      <calculatedColumnFormula>A1+1</calculatedColumnFormula>
    </tableColumn>
    <tableColumn id="2" xr3:uid="{9B3F5962-EE5B-4D96-AE4E-C6A2E91AF644}" name="Manufacturer"/>
    <tableColumn id="3" xr3:uid="{2F113BC2-6757-4C9B-B764-CBA062D7E3F8}" name="Part Number"/>
    <tableColumn id="4" xr3:uid="{2AD0C80F-C512-4283-A888-BA703FDB7410}" name="Description"/>
    <tableColumn id="5" xr3:uid="{86E266B1-D92B-4E91-967A-53D1FBC5BFC8}" name="Product Category"/>
    <tableColumn id="6" xr3:uid="{E55D82CA-AAA7-4B71-B5C0-490C1B005D0F}" name="Value"/>
    <tableColumn id="7" xr3:uid="{831FD044-B1D6-4A9A-A2E4-AC3C95E22B9C}" name="Alt-Value"/>
    <tableColumn id="8" xr3:uid="{F6D869D3-A881-4656-A59D-01972833C591}" name="Tolerance"/>
    <tableColumn id="9" xr3:uid="{A4504A8E-D313-4447-9303-6CD23A608B5E}" name="DC Rating"/>
    <tableColumn id="10" xr3:uid="{23A01AC8-1F5A-4770-8C29-188562B27E98}" name="Power Rating"/>
    <tableColumn id="11" xr3:uid="{22B6CAD5-D507-4B08-8FAC-CA2A16E59D91}" name="Package"/>
    <tableColumn id="12" xr3:uid="{FA74ACC5-9EA3-4003-A184-004184206E32}" name="Length"/>
    <tableColumn id="13" xr3:uid="{1976395E-1952-4BC9-9C50-FC5BBAE94B50}" name="Width"/>
    <tableColumn id="14" xr3:uid="{74015660-4C9E-4A13-AEC6-B0204E23038B}" name="Hight"/>
    <tableColumn id="15" xr3:uid="{B28E3169-F11D-418E-A553-A1025E0FE415}" name="Dimension [mm]"/>
    <tableColumn id="21" xr3:uid="{1CB15DDF-1885-4417-B6CF-9FBDAEB02EB0}" name="LIBRARTY MADE BY"/>
    <tableColumn id="20" xr3:uid="{F4C1986E-FD13-49DD-BEB3-B497EB85C595}" name="LINK VIET NAM"/>
    <tableColumn id="19" xr3:uid="{6D39FFF0-1E66-4DE1-A293-39FCBC6F9CB6}" name="LINK ORIGINAL"/>
    <tableColumn id="16" xr3:uid="{28A1AB0C-1527-467B-AAE1-D8ECB952AE21}" name="Library Ref"/>
    <tableColumn id="17" xr3:uid="{067EACAD-C805-402F-85DA-3CB4A87FBFDA}" name="Footprint Ref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C4137-7D77-4002-8360-BC51CB0423E8}" name="Components4" displayName="Components4" ref="A1:T3" totalsRowShown="0">
  <autoFilter ref="A1:T3" xr:uid="{A76C4137-7D77-4002-8360-BC51CB0423E8}"/>
  <tableColumns count="20">
    <tableColumn id="1" xr3:uid="{F0DE157C-D63D-41F9-A936-A70F7B9E52B2}" name="DatabaseID" dataDxfId="38">
      <calculatedColumnFormula>A1+1</calculatedColumnFormula>
    </tableColumn>
    <tableColumn id="2" xr3:uid="{2726DB8D-BF2B-42DB-B306-05053B51BA96}" name="Manufacturer"/>
    <tableColumn id="3" xr3:uid="{166F65D4-B230-49C9-8CB4-CD6030955C84}" name="Part Number"/>
    <tableColumn id="4" xr3:uid="{E0089947-058A-4B58-AB88-DE07A8931AB1}" name="Description"/>
    <tableColumn id="5" xr3:uid="{E309C09A-C1FF-45D3-AD97-F4ABD5D380C4}" name="Product Category"/>
    <tableColumn id="6" xr3:uid="{33087EBD-1826-43C5-83DA-23B9EBF08D45}" name="Value"/>
    <tableColumn id="7" xr3:uid="{EAFB93FC-B59B-4039-80BC-0891BF9B7711}" name="Alt-Value"/>
    <tableColumn id="8" xr3:uid="{68C710DD-70AD-4E61-88D2-881481F456B0}" name="Tolerance"/>
    <tableColumn id="9" xr3:uid="{F66817D1-6F92-46F8-97BC-12EDE5420CEF}" name="DC Rating"/>
    <tableColumn id="10" xr3:uid="{6E10A7D0-73AB-4D6D-940F-49A5B4711942}" name="Power Rating"/>
    <tableColumn id="11" xr3:uid="{4F52C33C-3865-4E99-AC16-C83AD7993927}" name="Package"/>
    <tableColumn id="12" xr3:uid="{34BD1633-20CF-448F-82D5-C1B724B2D37E}" name="Length"/>
    <tableColumn id="13" xr3:uid="{C632F5A3-A598-492D-9ADE-E990F75ACD22}" name="Width"/>
    <tableColumn id="14" xr3:uid="{7DBB36AE-3148-425F-9AE8-8B58A24F62A1}" name="Hight"/>
    <tableColumn id="15" xr3:uid="{8F7857AE-03F5-4B9C-B499-33EFFCB7F3D0}" name="Dimension [mm]"/>
    <tableColumn id="21" xr3:uid="{DEC6F4FA-DCD8-4F26-9EE1-EF9696EF5FC6}" name="LIBRARTY MADE BY"/>
    <tableColumn id="20" xr3:uid="{A066A695-D20D-4C7C-8E59-BEA5FA5D9167}" name="LINK VIET NAM"/>
    <tableColumn id="19" xr3:uid="{E63C3007-F1E1-4C63-AE53-3D32E5F688A4}" name="LINK ORIGINAL"/>
    <tableColumn id="16" xr3:uid="{CC18F190-7050-420A-94C6-15F24C25CBB9}" name="Library Ref"/>
    <tableColumn id="17" xr3:uid="{47A8C312-AC7A-4BC8-B91A-A9360298559E}" name="Footprint R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BD42259-2165-418D-AA11-B9548A7D3549}" name="Components45" displayName="Components45" ref="A1:T3" totalsRowShown="0">
  <autoFilter ref="A1:T3" xr:uid="{EBD42259-2165-418D-AA11-B9548A7D3549}"/>
  <tableColumns count="20">
    <tableColumn id="1" xr3:uid="{DD398443-5B69-4C9C-B386-6D13AB34AC4A}" name="DatabaseID" dataDxfId="37">
      <calculatedColumnFormula>A1+1</calculatedColumnFormula>
    </tableColumn>
    <tableColumn id="2" xr3:uid="{E78EE41E-186D-464D-8FAA-F6B9629132A2}" name="Manufacturer"/>
    <tableColumn id="3" xr3:uid="{B2990B96-BB04-43F2-8B0B-9E0CD34C667E}" name="Part Number"/>
    <tableColumn id="4" xr3:uid="{8EB72791-F33F-48CA-8167-61285F770C72}" name="Description"/>
    <tableColumn id="5" xr3:uid="{307B822A-824D-4F6B-BBAB-A6331458BF11}" name="Product Category"/>
    <tableColumn id="6" xr3:uid="{390D719E-EA81-4957-988C-6CB3A57039F5}" name="Value"/>
    <tableColumn id="7" xr3:uid="{6C7995A4-7A38-40E6-8E5B-F57B8957F392}" name="Alt-Value"/>
    <tableColumn id="8" xr3:uid="{2D24B736-30D7-440E-8F84-513C926732FB}" name="Tolerance"/>
    <tableColumn id="9" xr3:uid="{F822B361-2C34-48FB-BD44-C2664FD6B98F}" name="DC Rating"/>
    <tableColumn id="10" xr3:uid="{0F069D33-5707-45A2-8407-A07FAFBBFBFC}" name="Power Rating"/>
    <tableColumn id="11" xr3:uid="{2D6B3A5E-0BB8-4048-886B-91DFDEA4F473}" name="Package"/>
    <tableColumn id="12" xr3:uid="{AF47B5E0-BDBE-4868-8B35-F9B71236C51B}" name="Length"/>
    <tableColumn id="13" xr3:uid="{FEB4F6EF-1A4D-45AD-8824-FAF1153E976C}" name="Width"/>
    <tableColumn id="14" xr3:uid="{F3EBC8BD-475D-4DDD-B522-E7A2A2756A57}" name="Hight"/>
    <tableColumn id="15" xr3:uid="{BB0957AC-7206-4408-8637-7AD344E1C213}" name="Dimension [mm]"/>
    <tableColumn id="21" xr3:uid="{C1911448-DE4B-41E2-83E4-0F93FFA74AAA}" name="LIBRARTY MADE BY"/>
    <tableColumn id="20" xr3:uid="{00A8AAD4-16E4-46CD-A3F1-F7E470282F5F}" name="LINK VIET NAM"/>
    <tableColumn id="19" xr3:uid="{B22AA798-5CE7-48D6-A57A-489F222B9FA9}" name="LINK ORIGINAL"/>
    <tableColumn id="16" xr3:uid="{0FAD85D4-6F4E-42CF-A83A-DC2DAF9C5149}" name="Library Ref"/>
    <tableColumn id="17" xr3:uid="{0C87997C-F5C1-4116-BBF3-03B0436EDF40}" name="Footprint Ref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0018B5-ED12-4A14-AE2A-35929AD76226}" name="Components456" displayName="Components456" ref="A1:T16" totalsRowShown="0">
  <autoFilter ref="A1:T16" xr:uid="{E90018B5-ED12-4A14-AE2A-35929AD76226}"/>
  <tableColumns count="20">
    <tableColumn id="1" xr3:uid="{6DCFB553-9672-41F1-9B59-565D9771FF8F}" name="DatabaseID" dataDxfId="36">
      <calculatedColumnFormula>A1+1</calculatedColumnFormula>
    </tableColumn>
    <tableColumn id="2" xr3:uid="{56165878-7A92-4703-8017-2E394AAB62C8}" name="Manufacturer"/>
    <tableColumn id="3" xr3:uid="{04740067-E056-4091-A9D7-09B66BAC4C01}" name="Part Number"/>
    <tableColumn id="4" xr3:uid="{772604F5-CA89-429E-B295-4F00FE569A2D}" name="Description"/>
    <tableColumn id="5" xr3:uid="{61B36AD7-5F5C-4091-A1E3-5F336F8D4180}" name="Product Category"/>
    <tableColumn id="6" xr3:uid="{ADF4E33C-49BA-4D1B-ADB3-9220BF83B7BB}" name="Value"/>
    <tableColumn id="7" xr3:uid="{19DE8614-4EBE-4730-B93F-17C44C5E6AA2}" name="Alt-Value" dataDxfId="35">
      <calculatedColumnFormula>Components456[[#This Row],[Value]]</calculatedColumnFormula>
    </tableColumn>
    <tableColumn id="8" xr3:uid="{A3619B5D-A389-4986-9E42-98546BDBA959}" name="Tolerance"/>
    <tableColumn id="9" xr3:uid="{3708C17F-AB8B-4747-8E0B-D094716F2AFC}" name="DC Rating"/>
    <tableColumn id="10" xr3:uid="{CA1C3C65-0E75-487D-B70D-CA81B70CE789}" name="Power Rating"/>
    <tableColumn id="11" xr3:uid="{3DD21FA9-79B3-4598-8645-3411108CFB33}" name="Package"/>
    <tableColumn id="12" xr3:uid="{6C9A87A9-28B3-4733-88CE-7DDD8C70316E}" name="Length"/>
    <tableColumn id="13" xr3:uid="{5344229D-CDAF-41D0-9DC8-D608BE949387}" name="Width"/>
    <tableColumn id="14" xr3:uid="{212CF9FE-B5A8-4299-9AC1-24BA89B679A2}" name="Hight"/>
    <tableColumn id="15" xr3:uid="{8D528C27-A857-4B60-8BF0-0A72EC67D33E}" name="Dimension [mm]"/>
    <tableColumn id="21" xr3:uid="{61F7EE55-5E3E-4908-BE88-65E537C97907}" name="LIBRARTY MADE BY"/>
    <tableColumn id="20" xr3:uid="{F24F9883-D95A-4605-9FBD-F6ABA7C43DC2}" name="LINK VIET NAM"/>
    <tableColumn id="19" xr3:uid="{2110B5B2-D8F8-4C1A-9F7B-0B598566F8B2}" name="LINK ORIGINAL"/>
    <tableColumn id="16" xr3:uid="{08D847FE-887D-4359-B3BC-772C824557FB}" name="Library Ref"/>
    <tableColumn id="17" xr3:uid="{C1AB49E4-7373-42A0-A4CF-2E7048B32F32}" name="Footprint Ref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CA0C49F-6E8B-412C-BEA4-ADD46022C80E}" name="Components4567" displayName="Components4567" ref="A1:T3" totalsRowShown="0">
  <autoFilter ref="A1:T3" xr:uid="{FCA0C49F-6E8B-412C-BEA4-ADD46022C80E}"/>
  <tableColumns count="20">
    <tableColumn id="1" xr3:uid="{A7BF0210-DF59-42C5-BDB8-498D980479AD}" name="DatabaseID" dataDxfId="34">
      <calculatedColumnFormula>A1+1</calculatedColumnFormula>
    </tableColumn>
    <tableColumn id="2" xr3:uid="{CBD186C3-DD08-42D2-BD1A-E845EEA70105}" name="Manufacturer"/>
    <tableColumn id="3" xr3:uid="{9558B2D0-75F5-488F-84F1-C973B6024846}" name="Part Number"/>
    <tableColumn id="4" xr3:uid="{9F8AA5BF-7A2B-4E29-8AB6-FA3314499DCA}" name="Description"/>
    <tableColumn id="5" xr3:uid="{333351E4-D911-42AC-873F-5948EB950E97}" name="Product Category"/>
    <tableColumn id="6" xr3:uid="{EF4C7AAD-6C56-4FED-B73E-D1E66EB955A2}" name="Value"/>
    <tableColumn id="7" xr3:uid="{C4C7F85D-C47B-4485-8B77-456AD2ABD821}" name="Alt-Value"/>
    <tableColumn id="8" xr3:uid="{B66855C1-E255-4F57-A442-15245F921D96}" name="Tolerance"/>
    <tableColumn id="9" xr3:uid="{6D57AC09-8169-4E14-8F69-E707947CA44C}" name="DC Rating"/>
    <tableColumn id="10" xr3:uid="{04400BAF-9E35-4C5B-8757-0A9F508E6927}" name="Power Rating"/>
    <tableColumn id="11" xr3:uid="{AC010D8F-CD95-4E20-9C90-A7306424A76B}" name="Package"/>
    <tableColumn id="12" xr3:uid="{65585A33-7C1B-40D7-B0F8-FF1F4BBB9C87}" name="Length"/>
    <tableColumn id="13" xr3:uid="{D1E0DA67-CE4C-40D1-9764-F4C4BA2DE3F7}" name="Width"/>
    <tableColumn id="14" xr3:uid="{FE1A7516-116E-4F98-AA89-75BDA5FD2F83}" name="Hight"/>
    <tableColumn id="15" xr3:uid="{B9A0399E-1017-44F1-B2E9-7DBB613699AE}" name="Dimension [mm]"/>
    <tableColumn id="21" xr3:uid="{F061C3B7-79F3-46A3-8583-AB4CE7ACF6DE}" name="LIBRARTY MADE BY"/>
    <tableColumn id="20" xr3:uid="{030D454C-328C-4318-A2CE-9382A37FAE7F}" name="LINK VIET NAM"/>
    <tableColumn id="19" xr3:uid="{229DA05B-E44A-4FBE-B2F1-7B72F6AD377C}" name="LINK ORIGINAL"/>
    <tableColumn id="16" xr3:uid="{08EC2377-5584-4D06-861E-1D514576535F}" name="Library Ref"/>
    <tableColumn id="17" xr3:uid="{52BA5820-F245-4ED4-B304-7AA65AFAE70E}" name="Footprint Re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410E9F4-F89D-4E85-A5C2-EADE37E0E95C}" name="Components45678" displayName="Components45678" ref="A1:T3" totalsRowShown="0">
  <autoFilter ref="A1:T3" xr:uid="{6410E9F4-F89D-4E85-A5C2-EADE37E0E95C}"/>
  <tableColumns count="20">
    <tableColumn id="1" xr3:uid="{9AD69FD5-6F6D-430B-8D17-6938DADA03FB}" name="DatabaseID" dataDxfId="33">
      <calculatedColumnFormula>A1+1</calculatedColumnFormula>
    </tableColumn>
    <tableColumn id="2" xr3:uid="{F44DDDCB-A7AC-4CC2-9C4E-FEB2C673F37D}" name="Manufacturer"/>
    <tableColumn id="3" xr3:uid="{4BD3E4FB-ABA5-41B6-8869-36DCA49F4B93}" name="Part Number"/>
    <tableColumn id="4" xr3:uid="{25E60268-5F5F-488D-AEAC-E5EBB65EC541}" name="Description"/>
    <tableColumn id="5" xr3:uid="{5A31E0C8-EA74-455F-A087-306C502BBFED}" name="Product Category"/>
    <tableColumn id="6" xr3:uid="{64298C8C-6FE3-4C81-AE35-1556F95E32FB}" name="Value"/>
    <tableColumn id="7" xr3:uid="{4EAE9BE3-C426-43DF-9DF2-310AFC213EEE}" name="Alt-Value"/>
    <tableColumn id="8" xr3:uid="{6287822A-1E50-4456-98D6-3FDC33A3B946}" name="Tolerance"/>
    <tableColumn id="9" xr3:uid="{D9D18407-B815-4971-A43B-98858840A42B}" name="DC Rating"/>
    <tableColumn id="10" xr3:uid="{537752F2-5B8D-4F47-A264-ED378E506F37}" name="Power Rating"/>
    <tableColumn id="11" xr3:uid="{967442CA-5C17-43FC-B05F-9F3BF5F3178E}" name="Package"/>
    <tableColumn id="12" xr3:uid="{256CE472-159E-4603-9282-B77ADE649C53}" name="Length"/>
    <tableColumn id="13" xr3:uid="{098413B2-57F0-405D-A407-8B6D739B20AD}" name="Width"/>
    <tableColumn id="14" xr3:uid="{B7FFEA27-A9E0-487A-85D3-38FC770CDD55}" name="Hight"/>
    <tableColumn id="15" xr3:uid="{637651C1-F874-4E55-B579-47D79D9F4DE7}" name="Dimension [mm]"/>
    <tableColumn id="21" xr3:uid="{72B9A32F-F532-4619-954F-4E35D18465A6}" name="LIBRARTY MADE BY"/>
    <tableColumn id="20" xr3:uid="{861167CF-13B2-4DC6-A9E3-B928D9A50F10}" name="LINK VIET NAM"/>
    <tableColumn id="19" xr3:uid="{5585EC3D-E7C7-4963-B2AB-9938AF5EB26B}" name="LINK ORIGINAL"/>
    <tableColumn id="16" xr3:uid="{7BC54BEE-0D98-4001-8B1C-414D99F11BB4}" name="Library Ref"/>
    <tableColumn id="17" xr3:uid="{99258AD4-4712-489D-9BC3-EC99C60AB838}" name="Footprint Ref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4E92DEE-1FB7-4814-8168-0EA08DEA743B}" name="Components456789" displayName="Components456789" ref="A1:T3" totalsRowShown="0">
  <autoFilter ref="A1:T3" xr:uid="{04E92DEE-1FB7-4814-8168-0EA08DEA743B}"/>
  <tableColumns count="20">
    <tableColumn id="1" xr3:uid="{38D28418-9CB2-474D-AABF-1E7B6F944C36}" name="DatabaseID" dataDxfId="32">
      <calculatedColumnFormula>A1+1</calculatedColumnFormula>
    </tableColumn>
    <tableColumn id="2" xr3:uid="{1687871F-CD9D-4C9F-9F91-B205FABF82CA}" name="Manufacturer"/>
    <tableColumn id="3" xr3:uid="{2D12F23F-3025-469E-9AFE-07C808E81C14}" name="Part Number"/>
    <tableColumn id="4" xr3:uid="{AF11DC39-0602-4191-9809-1BEB9EDABBF8}" name="Description"/>
    <tableColumn id="5" xr3:uid="{5966ED2B-D620-4778-BA65-2CA3A3CDA779}" name="Product Category"/>
    <tableColumn id="6" xr3:uid="{84B62667-E4B5-493D-9925-B5DA3AD27621}" name="Value"/>
    <tableColumn id="7" xr3:uid="{9C35E694-8319-4C28-B8D5-A8B7DB4DB8A5}" name="Alt-Value"/>
    <tableColumn id="8" xr3:uid="{6453415B-1BA1-4D44-A407-FA9A159844BA}" name="Tolerance"/>
    <tableColumn id="9" xr3:uid="{36C9DC5B-C24B-4DFA-8D95-D0D1D65B17E6}" name="DC Rating"/>
    <tableColumn id="10" xr3:uid="{0E5BF581-7C24-4908-8B9E-9BFB88DF09BA}" name="Power Rating"/>
    <tableColumn id="11" xr3:uid="{66E96532-FE90-425C-B080-D78691673C37}" name="Package"/>
    <tableColumn id="12" xr3:uid="{375A3986-0A78-4A98-8C2E-A9295E800DAE}" name="Length"/>
    <tableColumn id="13" xr3:uid="{42E983F3-88AA-41E0-B975-36610F691418}" name="Width"/>
    <tableColumn id="14" xr3:uid="{C7FDD18C-6D8D-4D54-90AA-3B657A091AD1}" name="Hight"/>
    <tableColumn id="15" xr3:uid="{5B0B9CA8-588F-4B9E-A040-D874BD25EB78}" name="Dimension [mm]"/>
    <tableColumn id="21" xr3:uid="{3D067867-CBE1-43B1-8385-6FCF5325C52D}" name="LIBRARTY MADE BY"/>
    <tableColumn id="20" xr3:uid="{06C2901C-0365-45CB-9087-5B0478D3BEB0}" name="LINK VIET NAM"/>
    <tableColumn id="19" xr3:uid="{E570F6F7-C3F8-4177-8972-717FA8F3FE4B}" name="LINK ORIGINAL"/>
    <tableColumn id="16" xr3:uid="{D9355917-8C12-42EC-8FBF-75B8C9E3B7AD}" name="Library Ref"/>
    <tableColumn id="17" xr3:uid="{66DA9CA1-5106-413E-A7C7-865346064BA1}" name="Footprint Ref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ACFF0C6-872D-420C-B601-FFE673387D84}" name="Components45678910" displayName="Components45678910" ref="A1:T3" totalsRowShown="0">
  <autoFilter ref="A1:T3" xr:uid="{7ACFF0C6-872D-420C-B601-FFE673387D84}"/>
  <tableColumns count="20">
    <tableColumn id="1" xr3:uid="{2C5CDD33-FC7A-4545-8E33-DF4A7E66303D}" name="DatabaseID" dataDxfId="31">
      <calculatedColumnFormula>A1+1</calculatedColumnFormula>
    </tableColumn>
    <tableColumn id="2" xr3:uid="{948E7A6E-5F3B-4F14-AFA0-7A3441837FCE}" name="Manufacturer"/>
    <tableColumn id="3" xr3:uid="{42522968-7CF7-4513-9D1B-6C9BAEBC00FF}" name="Part Number"/>
    <tableColumn id="4" xr3:uid="{50524C13-2553-4227-ADC9-A668C0A9842B}" name="Description"/>
    <tableColumn id="5" xr3:uid="{0E4757E9-C044-412D-81D5-347783882595}" name="Product Category"/>
    <tableColumn id="6" xr3:uid="{1A439B9E-FEC6-4894-A1DE-411F05A3F1E5}" name="Value"/>
    <tableColumn id="7" xr3:uid="{BB15B91A-A9C6-4126-BFBE-A85A8C29DD06}" name="Alt-Value"/>
    <tableColumn id="8" xr3:uid="{CAE352E9-DCE0-4149-ACA6-46DBE6C4B016}" name="Tolerance"/>
    <tableColumn id="9" xr3:uid="{CDAD6FEF-A996-4FB4-BF02-5476BA853884}" name="DC Rating"/>
    <tableColumn id="10" xr3:uid="{0B6268F7-356F-4395-9B1F-7721F69C23C6}" name="Power Rating"/>
    <tableColumn id="11" xr3:uid="{60EB2ADF-2A2D-454E-8612-3C0F739987A6}" name="Package"/>
    <tableColumn id="12" xr3:uid="{B8F65625-4498-409F-9F6C-D58E32CFAF29}" name="Length"/>
    <tableColumn id="13" xr3:uid="{5C98F196-877B-40CA-9674-32C45A2D0E60}" name="Width"/>
    <tableColumn id="14" xr3:uid="{DF99C69E-2EFB-46A4-BA97-4296B87130FF}" name="Hight"/>
    <tableColumn id="15" xr3:uid="{AA1A6A5B-D5C8-49CE-B34E-6DFACE92FC3C}" name="Dimension [mm]"/>
    <tableColumn id="21" xr3:uid="{B5A27309-3E86-4253-A4CD-412631968A7A}" name="LIBRARTY MADE BY"/>
    <tableColumn id="20" xr3:uid="{1A243334-C5FB-433A-9818-4BBCA101288E}" name="LINK VIET NAM"/>
    <tableColumn id="19" xr3:uid="{2D62AD9E-B7CA-43AA-854F-625A181AE8E9}" name="LINK ORIGINAL"/>
    <tableColumn id="16" xr3:uid="{06509C1F-7390-4136-9EEE-3B1FFF987E32}" name="Library Ref"/>
    <tableColumn id="17" xr3:uid="{303DC5C4-7309-4987-B489-4038405D4FB6}" name="Footprint Re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7EC9CDD-DC21-4780-9620-57733319AF87}" name="Components4567891011" displayName="Components4567891011" ref="A1:T3" totalsRowShown="0">
  <autoFilter ref="A1:T3" xr:uid="{B7EC9CDD-DC21-4780-9620-57733319AF87}"/>
  <tableColumns count="20">
    <tableColumn id="1" xr3:uid="{A9C3172C-BF40-499F-872C-B6F1560825F4}" name="DatabaseID" dataDxfId="30">
      <calculatedColumnFormula>A1+1</calculatedColumnFormula>
    </tableColumn>
    <tableColumn id="2" xr3:uid="{BB2DE3FF-7A8F-48D0-B86E-1D97C4693FED}" name="Manufacturer"/>
    <tableColumn id="3" xr3:uid="{7F2B06D7-D2AC-453E-AA95-10277BA13906}" name="Part Number"/>
    <tableColumn id="4" xr3:uid="{EF435DF3-AEA5-4DC8-9F33-1C48EA51A471}" name="Description"/>
    <tableColumn id="5" xr3:uid="{251E03ED-D2C7-4C50-99F0-DF1C63D81F36}" name="Product Category"/>
    <tableColumn id="6" xr3:uid="{F0C3D357-4DE0-4563-A41C-728039B3D591}" name="Value"/>
    <tableColumn id="7" xr3:uid="{2DB7953A-12D9-41FA-A5DF-354CE43CFC7D}" name="Alt-Value"/>
    <tableColumn id="8" xr3:uid="{05D1811B-5204-443F-A085-0E5022BD5868}" name="Tolerance"/>
    <tableColumn id="9" xr3:uid="{A8AF1AB4-A44C-4A51-89E5-A987450AAA62}" name="DC Rating"/>
    <tableColumn id="10" xr3:uid="{8C7CEE20-BE7A-43DC-A218-639BD56F3846}" name="Power Rating"/>
    <tableColumn id="11" xr3:uid="{71EC4B12-69C4-438C-ADB1-E1C643E1CFB0}" name="Package"/>
    <tableColumn id="12" xr3:uid="{5363A080-E77B-4A9D-874E-11A14772658C}" name="Length"/>
    <tableColumn id="13" xr3:uid="{0EDBB690-1EA6-4EBC-B4C7-624408B2D404}" name="Width"/>
    <tableColumn id="14" xr3:uid="{E1E4C008-54D6-411C-84D1-46DA57B0DED2}" name="Hight"/>
    <tableColumn id="15" xr3:uid="{2F77CDB2-0FEF-4F05-AF5C-0D456BE85373}" name="Dimension [mm]"/>
    <tableColumn id="21" xr3:uid="{F10A9028-C5EA-4C9E-9FC9-10C4A639694A}" name="LIBRARTY MADE BY"/>
    <tableColumn id="20" xr3:uid="{EA7E51D4-F731-4DC5-8306-09FE52FF4B73}" name="LINK VIET NAM"/>
    <tableColumn id="19" xr3:uid="{CD3778AB-F5F4-46DE-AA8A-58C50E278CE3}" name="LINK ORIGINAL"/>
    <tableColumn id="16" xr3:uid="{306BDB1A-BDAD-4551-A098-5E7BC887CE85}" name="Library Ref"/>
    <tableColumn id="17" xr3:uid="{DA37EF50-EA0F-4541-8918-B7776FBE7E1E}" name="Footprint Ref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FBFD73F-FAA3-4BF7-A450-32B0F889B8CE}" name="Components456789101112" displayName="Components456789101112" ref="A1:T3" totalsRowShown="0">
  <autoFilter ref="A1:T3" xr:uid="{8FBFD73F-FAA3-4BF7-A450-32B0F889B8CE}"/>
  <tableColumns count="20">
    <tableColumn id="1" xr3:uid="{41884EBB-13F6-4DC5-9643-7C49A08B09A6}" name="DatabaseID" dataDxfId="29">
      <calculatedColumnFormula>A1+1</calculatedColumnFormula>
    </tableColumn>
    <tableColumn id="2" xr3:uid="{37101C69-9932-4F99-91A9-D24E766EA949}" name="Manufacturer"/>
    <tableColumn id="3" xr3:uid="{675C9517-041F-4E68-9708-927FF84F64C6}" name="Part Number"/>
    <tableColumn id="4" xr3:uid="{3FFFAC2A-D0C2-4E6F-8D95-0F699F8DDA58}" name="Description"/>
    <tableColumn id="5" xr3:uid="{6C1B1C81-DAFC-41A9-96A2-CAFF2AA20B4E}" name="Product Category"/>
    <tableColumn id="6" xr3:uid="{8B621BC1-C8BF-4217-8408-8D23454A5DCE}" name="Value"/>
    <tableColumn id="7" xr3:uid="{947F2954-78C8-4D35-B020-D5661FC8A988}" name="Alt-Value"/>
    <tableColumn id="8" xr3:uid="{6F1CA225-EB15-49F4-98F7-189BADC0E150}" name="Tolerance"/>
    <tableColumn id="9" xr3:uid="{B63010D6-8B37-44EE-BCE1-D39B392BF5AA}" name="DC Rating"/>
    <tableColumn id="10" xr3:uid="{2C5AA2FF-048D-4831-9DF4-24D41795F92A}" name="Power Rating"/>
    <tableColumn id="11" xr3:uid="{D38CE59A-06FD-4E01-9497-5310C05BBD0E}" name="Package"/>
    <tableColumn id="12" xr3:uid="{D6EC8029-2E7A-471A-8413-092F2C269ABA}" name="Length"/>
    <tableColumn id="13" xr3:uid="{2FF337A0-896A-4F55-B928-6CE8124DB307}" name="Width"/>
    <tableColumn id="14" xr3:uid="{DDF8A169-E658-4B83-9A67-A9B33421BE5F}" name="Hight"/>
    <tableColumn id="15" xr3:uid="{D81EEE79-4BC4-4FFF-B34B-E7653D378D4C}" name="Dimension [mm]"/>
    <tableColumn id="21" xr3:uid="{94285C1A-0CEC-4FE3-996C-F65CBE04500C}" name="LIBRARTY MADE BY"/>
    <tableColumn id="20" xr3:uid="{FDC9942F-F5EF-4FA1-91B3-DED0DB51F4CE}" name="LINK VIET NAM"/>
    <tableColumn id="19" xr3:uid="{76A50465-0E3A-45B8-B0E4-CAD7268610C2}" name="LINK ORIGINAL"/>
    <tableColumn id="16" xr3:uid="{6BBFBDBB-808C-4DFB-A510-1C7DC9FAEE99}" name="Library Ref"/>
    <tableColumn id="17" xr3:uid="{823129A8-27BD-47AA-8AE2-7F85FACC749E}" name="Footprint Ref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802C150-2A0F-4B36-A9B9-4A60CD5BAA2F}" name="Components45678910111213" displayName="Components45678910111213" ref="A1:T3" totalsRowShown="0">
  <autoFilter ref="A1:T3" xr:uid="{2802C150-2A0F-4B36-A9B9-4A60CD5BAA2F}"/>
  <tableColumns count="20">
    <tableColumn id="1" xr3:uid="{4B0D9D07-F39A-490C-89E6-022F520E67D3}" name="DatabaseID" dataDxfId="28">
      <calculatedColumnFormula>A1+1</calculatedColumnFormula>
    </tableColumn>
    <tableColumn id="2" xr3:uid="{744E546F-00BF-47B6-8B87-8ED072F54BD4}" name="Manufacturer"/>
    <tableColumn id="3" xr3:uid="{7C95C84F-6393-4AF9-89C0-5E6F0603562D}" name="Part Number"/>
    <tableColumn id="4" xr3:uid="{99F7C7EE-D212-4711-885F-D02F2092FDC2}" name="Description"/>
    <tableColumn id="5" xr3:uid="{16D88CF5-CA56-4C0F-93F1-1D76C7CC6AA0}" name="Product Category"/>
    <tableColumn id="6" xr3:uid="{B5DFFF55-5CEE-40E1-BFD2-8F7CE70EF823}" name="Value"/>
    <tableColumn id="7" xr3:uid="{5F98FE53-CF2F-4A11-A67F-59AA07DED0BE}" name="Alt-Value"/>
    <tableColumn id="8" xr3:uid="{4C395688-5B00-4E5D-80AE-B934C4329A7A}" name="Tolerance"/>
    <tableColumn id="9" xr3:uid="{C4ABB960-6B01-4E71-8E3A-7AD0538450D8}" name="DC Rating"/>
    <tableColumn id="10" xr3:uid="{C445213B-7656-4AB3-9709-CB8BB2939C77}" name="Power Rating"/>
    <tableColumn id="11" xr3:uid="{1B6F6230-57A3-4C67-86AE-951616639C0B}" name="Package"/>
    <tableColumn id="12" xr3:uid="{04ECBB50-557F-490F-9CAB-0AFF66811064}" name="Length"/>
    <tableColumn id="13" xr3:uid="{EAA2F04E-07D9-4C5F-97A7-D4310C4BBEBD}" name="Width"/>
    <tableColumn id="14" xr3:uid="{43244453-812C-4ECD-917B-682DD0D66006}" name="Hight"/>
    <tableColumn id="15" xr3:uid="{7B96EACD-B154-4E2B-8007-69659AD9ACC8}" name="Dimension [mm]"/>
    <tableColumn id="21" xr3:uid="{42EAE639-2154-4A02-9D99-C709AD30F1E6}" name="LIBRARTY MADE BY"/>
    <tableColumn id="20" xr3:uid="{3C10466E-6CA2-44FD-8084-3BE257A70A93}" name="LINK VIET NAM"/>
    <tableColumn id="19" xr3:uid="{200B4BE9-746D-41AD-9C9A-BE5BA5A37613}" name="LINK ORIGINAL"/>
    <tableColumn id="16" xr3:uid="{F63D4E6C-62FF-4862-AFCC-3A7AEA0E3827}" name="Library Ref"/>
    <tableColumn id="17" xr3:uid="{189C0822-B636-4E09-ADB9-7D494F7A7715}" name="Footprint Ref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79D432E-1235-4562-88B8-D9B3F25AAAF2}" name="Components4567891011121314" displayName="Components4567891011121314" ref="A1:T3" totalsRowShown="0">
  <autoFilter ref="A1:T3" xr:uid="{379D432E-1235-4562-88B8-D9B3F25AAAF2}"/>
  <tableColumns count="20">
    <tableColumn id="1" xr3:uid="{177771E8-4645-4634-9E0B-AC3160CAED2B}" name="DatabaseID" dataDxfId="27">
      <calculatedColumnFormula>A1+1</calculatedColumnFormula>
    </tableColumn>
    <tableColumn id="2" xr3:uid="{E9841ADA-3146-47E9-B2DE-5561ECCEE5D9}" name="Manufacturer"/>
    <tableColumn id="3" xr3:uid="{652E2459-AA1D-420E-8D7B-969A73A8CA56}" name="Part Number"/>
    <tableColumn id="4" xr3:uid="{1139C04C-2219-4151-A323-17EF03627990}" name="Description"/>
    <tableColumn id="5" xr3:uid="{3F83E833-874E-4307-B501-ACA5B0E7CD5A}" name="Product Category"/>
    <tableColumn id="6" xr3:uid="{CEA97CCC-EFEC-485C-B86F-66DCEEDA40D4}" name="Value"/>
    <tableColumn id="7" xr3:uid="{B5DF1AFF-FF27-4339-BC7B-B83AD8CF6731}" name="Alt-Value"/>
    <tableColumn id="8" xr3:uid="{030574C6-CD72-4CD0-B06C-EDCF22804299}" name="Tolerance"/>
    <tableColumn id="9" xr3:uid="{BD2829B4-C193-4D51-9D96-D48D25CDB8CC}" name="DC Rating"/>
    <tableColumn id="10" xr3:uid="{24F74431-B0F1-40FD-89AA-DA2E84D6D97B}" name="Power Rating"/>
    <tableColumn id="11" xr3:uid="{EAAEE748-4BDA-41CE-80A7-5A9944ED6274}" name="Package"/>
    <tableColumn id="12" xr3:uid="{22A61F2D-BDED-4548-B91D-CAE59D3791FD}" name="Length"/>
    <tableColumn id="13" xr3:uid="{9EC0AD9E-B686-4EF6-92FE-B130B2E52051}" name="Width"/>
    <tableColumn id="14" xr3:uid="{5E56F8BC-0389-4DEC-B13C-7B540113CCFC}" name="Hight"/>
    <tableColumn id="15" xr3:uid="{6CF48DD9-84DA-497E-9814-4DC551421883}" name="Dimension [mm]"/>
    <tableColumn id="21" xr3:uid="{79E9D19A-335D-4538-A8FF-F2C86C5E795C}" name="LIBRARTY MADE BY"/>
    <tableColumn id="20" xr3:uid="{2049219D-11DA-4D99-AC0A-E080EF00EDEA}" name="LINK VIET NAM"/>
    <tableColumn id="19" xr3:uid="{E80142AC-1A5C-4965-A4EE-9B0F1BAA90C8}" name="LINK ORIGINAL"/>
    <tableColumn id="16" xr3:uid="{EA886175-BAE9-43B7-BA1E-5F0182A2C24A}" name="Library Ref"/>
    <tableColumn id="17" xr3:uid="{950EA233-53EF-4E48-B5CA-3040E97E252F}" name="Footprint Ref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187FF61-1F18-4530-BB57-AE422CFE55AD}" name="Components456789101112131415" displayName="Components456789101112131415" ref="A1:T3" totalsRowShown="0">
  <autoFilter ref="A1:T3" xr:uid="{B187FF61-1F18-4530-BB57-AE422CFE55AD}"/>
  <tableColumns count="20">
    <tableColumn id="1" xr3:uid="{E194DB81-0371-4FAD-BD2D-8FBF3122D244}" name="DatabaseID" dataDxfId="26">
      <calculatedColumnFormula>A1+1</calculatedColumnFormula>
    </tableColumn>
    <tableColumn id="2" xr3:uid="{5A9ACE0B-5D88-4224-B265-3FACAB657265}" name="Manufacturer"/>
    <tableColumn id="3" xr3:uid="{AC621BC8-E478-4435-8FD3-E5068055C7EB}" name="Part Number"/>
    <tableColumn id="4" xr3:uid="{0D57CFC2-289B-45A8-9502-F0C05A22B708}" name="Description"/>
    <tableColumn id="5" xr3:uid="{6A3807EC-9732-4479-BEC4-2EDBC783382B}" name="Product Category"/>
    <tableColumn id="6" xr3:uid="{D8C890B2-F8C3-4B4C-B1A9-23EFFD39BDCB}" name="Value"/>
    <tableColumn id="7" xr3:uid="{D3789288-2B9D-48C6-8464-B59130DF6B6D}" name="Alt-Value"/>
    <tableColumn id="8" xr3:uid="{FDB32DB3-08C3-462D-8E23-DDE8FB9B01E1}" name="Tolerance"/>
    <tableColumn id="9" xr3:uid="{31295AEF-74C8-4931-9063-C07B216F71CA}" name="DC Rating"/>
    <tableColumn id="10" xr3:uid="{3E837AE5-91BE-4E51-BCD7-AC9C8A1966BE}" name="Power Rating"/>
    <tableColumn id="11" xr3:uid="{6C626234-9AB1-47ED-A6DD-CB42D6F66D72}" name="Package"/>
    <tableColumn id="12" xr3:uid="{51E28B05-A5FD-4404-A523-40C461DF54C4}" name="Length"/>
    <tableColumn id="13" xr3:uid="{73F45D22-D438-46F1-9D4E-6F5AADCF09FC}" name="Width"/>
    <tableColumn id="14" xr3:uid="{E1DAD420-0E57-49D0-8ED2-445F643A69CF}" name="Hight"/>
    <tableColumn id="15" xr3:uid="{D31B1DB8-BE83-44F8-8964-A233F287CF9D}" name="Dimension [mm]"/>
    <tableColumn id="21" xr3:uid="{AE9D0D05-9AFF-4BF8-888E-04E63603C478}" name="LIBRARTY MADE BY"/>
    <tableColumn id="20" xr3:uid="{6CEE0909-5F8C-45C9-8D31-E68C3477EDED}" name="LINK VIET NAM"/>
    <tableColumn id="19" xr3:uid="{9C2726CE-8ABD-42C8-8C9F-1C8D7ADC33F7}" name="LINK ORIGINAL"/>
    <tableColumn id="16" xr3:uid="{3C79E820-87FC-4F5D-B363-02902A5373CC}" name="Library Ref"/>
    <tableColumn id="17" xr3:uid="{8CF3BBDF-E260-4E6A-A25C-4A5EC2567F9B}" name="Footprint Ref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9393FC8-6593-493F-B2FD-8D874F6748D9}" name="Components45678910111213141516" displayName="Components45678910111213141516" ref="A1:T3" totalsRowShown="0">
  <autoFilter ref="A1:T3" xr:uid="{C9393FC8-6593-493F-B2FD-8D874F6748D9}"/>
  <tableColumns count="20">
    <tableColumn id="1" xr3:uid="{41C260F7-F051-4F2B-8E37-B199FB68EBBB}" name="DatabaseID" dataDxfId="25">
      <calculatedColumnFormula>A1+1</calculatedColumnFormula>
    </tableColumn>
    <tableColumn id="2" xr3:uid="{D4AFEB1F-E1B5-460B-9E7F-499475E6E9AE}" name="Manufacturer"/>
    <tableColumn id="3" xr3:uid="{587844B3-C79B-4F56-B2CE-53194E820DB7}" name="Part Number"/>
    <tableColumn id="4" xr3:uid="{3B94D77D-F8F3-49F8-B6C6-B51C0312C4D9}" name="Description"/>
    <tableColumn id="5" xr3:uid="{70262208-5975-43F0-AF7B-F3E235D51701}" name="Product Category"/>
    <tableColumn id="6" xr3:uid="{FE7A8ECE-17DB-4AC1-AF07-EE391942FEDD}" name="Value"/>
    <tableColumn id="7" xr3:uid="{03DB0F50-C191-4443-95C0-336C6DEB15CA}" name="Alt-Value"/>
    <tableColumn id="8" xr3:uid="{5B85BB9E-6F09-4A2E-A8D4-4DFE3FFFEA07}" name="Tolerance"/>
    <tableColumn id="9" xr3:uid="{D6400038-AFFE-456A-B5CE-7D93D8DF1878}" name="DC Rating"/>
    <tableColumn id="10" xr3:uid="{4A04B413-0A3E-4CE5-98DA-2870155C69B9}" name="Power Rating"/>
    <tableColumn id="11" xr3:uid="{C23B8E18-6548-45F7-8130-0B8380E87A9D}" name="Package"/>
    <tableColumn id="12" xr3:uid="{E2B955B6-1246-4EBF-9208-96BC7985277C}" name="Length"/>
    <tableColumn id="13" xr3:uid="{15FDC279-0B14-49C6-AD27-8D4CB5EEB5B3}" name="Width"/>
    <tableColumn id="14" xr3:uid="{AB4BDC4B-7EDB-43E7-A930-D2B211816801}" name="Hight"/>
    <tableColumn id="15" xr3:uid="{15EA7DEC-D3DC-4795-A9DF-69B6989B4F2B}" name="Dimension [mm]"/>
    <tableColumn id="21" xr3:uid="{9EB0B28A-9233-4918-B12F-F86D3D8001C0}" name="LIBRARTY MADE BY"/>
    <tableColumn id="20" xr3:uid="{BCE60400-E22A-4E42-BAD0-86AC4373DA35}" name="LINK VIET NAM"/>
    <tableColumn id="19" xr3:uid="{62CB31BA-ADD7-4401-A532-D2B1248E8366}" name="LINK ORIGINAL"/>
    <tableColumn id="16" xr3:uid="{72DA8653-9E4C-454D-B6B6-7ECF58A423A0}" name="Library Ref"/>
    <tableColumn id="17" xr3:uid="{4C7514E1-E920-4CDF-99C8-82705CF77CC7}" name="Footprint Ref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C32BB3F-8898-4401-A157-3F45FA821970}" name="Components4567891011121314151617" displayName="Components4567891011121314151617" ref="A1:T3" totalsRowShown="0">
  <autoFilter ref="A1:T3" xr:uid="{EC32BB3F-8898-4401-A157-3F45FA821970}"/>
  <tableColumns count="20">
    <tableColumn id="1" xr3:uid="{0628E4ED-CAB6-4CCC-B3A9-B3444A0D8BDF}" name="DatabaseID" dataDxfId="24">
      <calculatedColumnFormula>A1+1</calculatedColumnFormula>
    </tableColumn>
    <tableColumn id="2" xr3:uid="{2BC2F8B9-5046-4ED4-8322-DB7017D8226B}" name="Manufacturer"/>
    <tableColumn id="3" xr3:uid="{1BD08711-0FB3-477E-A8AB-513B905A3F36}" name="Part Number"/>
    <tableColumn id="4" xr3:uid="{4E26049F-59F1-46C9-BE3E-6F65C0F71731}" name="Description"/>
    <tableColumn id="5" xr3:uid="{A3BF4E83-B1A2-4139-B309-A04830087230}" name="Product Category"/>
    <tableColumn id="6" xr3:uid="{100389C6-1080-452F-884B-C89ECCA31A44}" name="Value"/>
    <tableColumn id="7" xr3:uid="{9EF6268E-176F-46F9-BB84-D1A7A09CE251}" name="Alt-Value"/>
    <tableColumn id="8" xr3:uid="{8855C67C-EDBA-464F-A3D4-516B2FD55C0F}" name="Tolerance"/>
    <tableColumn id="9" xr3:uid="{DDB358F9-F448-44D5-887B-53A68CE523C1}" name="DC Rating"/>
    <tableColumn id="10" xr3:uid="{6E0364DE-7271-4463-8E51-28EEDCE914CB}" name="Power Rating"/>
    <tableColumn id="11" xr3:uid="{B5DDC8B2-452C-4960-89A4-8D0A7F7A388B}" name="Package"/>
    <tableColumn id="12" xr3:uid="{FDA96F31-C816-43FE-B2E5-26A22BA77444}" name="Length"/>
    <tableColumn id="13" xr3:uid="{3CDDFE07-08A2-4BD3-8254-142BF3663DE4}" name="Width"/>
    <tableColumn id="14" xr3:uid="{F09EEFFB-9B38-460A-945C-0CEFDF48CA2C}" name="Hight"/>
    <tableColumn id="15" xr3:uid="{72B64DC1-2C26-4139-81CA-C7CA505B82A2}" name="Dimension [mm]"/>
    <tableColumn id="21" xr3:uid="{56019B24-D44B-4065-BF21-9C2C891EDCEF}" name="LIBRARTY MADE BY"/>
    <tableColumn id="20" xr3:uid="{5CAC3F04-505A-4CF0-9A46-5D75ECAA631B}" name="LINK VIET NAM"/>
    <tableColumn id="19" xr3:uid="{4F070677-DC9D-40CE-B374-BFFB30ADF0EA}" name="LINK ORIGINAL"/>
    <tableColumn id="16" xr3:uid="{5E644CD8-AE7E-4D9A-9E58-EA778C43276B}" name="Library Ref"/>
    <tableColumn id="17" xr3:uid="{BE1FB3BD-D850-4B2F-9A56-DC2B5BBB56F7}" name="Footprint Ref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560ED2E-ABA3-461C-BEBE-24FAB7AB9850}" name="Components456789101112131415161718" displayName="Components456789101112131415161718" ref="A1:T6" totalsRowShown="0">
  <autoFilter ref="A1:T6" xr:uid="{5560ED2E-ABA3-461C-BEBE-24FAB7AB9850}"/>
  <tableColumns count="20">
    <tableColumn id="1" xr3:uid="{2B60392A-A071-4B7D-8FB4-5F076D35A24C}" name="DatabaseID" dataDxfId="23">
      <calculatedColumnFormula>A1+1</calculatedColumnFormula>
    </tableColumn>
    <tableColumn id="2" xr3:uid="{1DA631C8-764C-4AF2-9E03-0833208F42A1}" name="Manufacturer"/>
    <tableColumn id="3" xr3:uid="{23775860-9626-49B6-8BB9-FF5101871E9B}" name="Part Number"/>
    <tableColumn id="4" xr3:uid="{89A704D6-C197-4DA7-A1DA-8871D6636AFE}" name="Description"/>
    <tableColumn id="5" xr3:uid="{84BC616F-C702-4249-A1B0-6DD1E53DF396}" name="Product Category"/>
    <tableColumn id="6" xr3:uid="{BEAF8682-7CE6-428A-B198-4A64A16E49CC}" name="Value"/>
    <tableColumn id="7" xr3:uid="{67F5551B-22E8-4BBC-AC55-89A32EB6656D}" name="Alt-Value" dataDxfId="22">
      <calculatedColumnFormula>Components456789101112131415161718[[#This Row],[Value]]</calculatedColumnFormula>
    </tableColumn>
    <tableColumn id="8" xr3:uid="{4C3E16FB-3EC3-4E78-859C-6F396334F8EF}" name="Tolerance"/>
    <tableColumn id="9" xr3:uid="{5FEE2052-8257-4F35-9BF3-E2ED6D1C801F}" name="DC Rating"/>
    <tableColumn id="10" xr3:uid="{73AC98C9-1C6A-414E-8F14-7EBDFED8F608}" name="Power Rating"/>
    <tableColumn id="11" xr3:uid="{5EC062A6-3940-481E-8C9D-30AE8022CA31}" name="Package"/>
    <tableColumn id="12" xr3:uid="{187C3462-9C6B-40F4-AD78-D341F5EA5E7C}" name="Length"/>
    <tableColumn id="13" xr3:uid="{428FC916-75D9-40B7-AC71-0B483BF770CB}" name="Width"/>
    <tableColumn id="14" xr3:uid="{3BDB00D2-26D0-47CD-9A6B-AF3A18E4ACB4}" name="Hight"/>
    <tableColumn id="15" xr3:uid="{BC6644CF-BC5C-4656-A436-56501EEF0B3E}" name="Dimension [mm]"/>
    <tableColumn id="21" xr3:uid="{438DB05D-7504-47DD-8CC5-577AB109747F}" name="LIBRARTY MADE BY"/>
    <tableColumn id="20" xr3:uid="{70D6090C-40C8-46D3-BCD9-49305A2D5433}" name="LINK VIET NAM"/>
    <tableColumn id="19" xr3:uid="{1B485B82-B0E8-47D3-B418-5A57B9C62633}" name="LINK ORIGINAL"/>
    <tableColumn id="16" xr3:uid="{7940751A-3A3E-47CD-A4C0-25393BDC3654}" name="Library Ref"/>
    <tableColumn id="17" xr3:uid="{093B614D-FFC9-4661-B748-DD8A26C6295D}" name="Footprint Ref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53B91CC-AD89-4BCE-94BA-23BD0AAFD5AD}" name="Components45678910111213141516171819" displayName="Components45678910111213141516171819" ref="A1:T3" totalsRowShown="0">
  <autoFilter ref="A1:T3" xr:uid="{253B91CC-AD89-4BCE-94BA-23BD0AAFD5AD}"/>
  <tableColumns count="20">
    <tableColumn id="1" xr3:uid="{C0011B28-A782-4F3E-9BC5-36612BA028FA}" name="DatabaseID" dataDxfId="21">
      <calculatedColumnFormula>A1+1</calculatedColumnFormula>
    </tableColumn>
    <tableColumn id="2" xr3:uid="{F6B84918-CB95-4395-939D-4D5EBB1A13B6}" name="Manufacturer"/>
    <tableColumn id="3" xr3:uid="{BA59F33D-028D-49EA-991F-AFDD1FA6042E}" name="Part Number"/>
    <tableColumn id="4" xr3:uid="{A111AD9A-8CB1-40C9-8D83-B086D16A78EA}" name="Description"/>
    <tableColumn id="5" xr3:uid="{AF050A5D-EAF4-4850-8032-837D15C4A1E7}" name="Product Category"/>
    <tableColumn id="6" xr3:uid="{179A3832-3A86-4B74-9C4D-52DF78552EF9}" name="Value"/>
    <tableColumn id="7" xr3:uid="{DC8B4450-0DC2-4F0D-8C04-DC06D39B2DC3}" name="Alt-Value"/>
    <tableColumn id="8" xr3:uid="{90775626-E757-4CD7-887F-1BD6467B7A29}" name="Tolerance"/>
    <tableColumn id="9" xr3:uid="{8F8291EA-B4EA-4F17-8CB3-09741B7A823E}" name="DC Rating"/>
    <tableColumn id="10" xr3:uid="{66F2C527-6E95-4225-BD77-402B086044DB}" name="Power Rating"/>
    <tableColumn id="11" xr3:uid="{0000BE4B-75FD-4A10-B9D6-1A8EF6491EE3}" name="Package"/>
    <tableColumn id="12" xr3:uid="{25D61B91-C97B-4C4E-977A-4B9438567740}" name="Length"/>
    <tableColumn id="13" xr3:uid="{0046C507-2AF4-4A0D-A0B8-1212BEC037BF}" name="Width"/>
    <tableColumn id="14" xr3:uid="{3BC95E53-2388-43DC-A12D-8A1FE6F25077}" name="Hight"/>
    <tableColumn id="15" xr3:uid="{4A89D76D-C9BB-4F76-AFB6-74DF3837F88F}" name="Dimension [mm]"/>
    <tableColumn id="21" xr3:uid="{BB559FB4-2191-4C78-AFC6-7F183D262878}" name="LIBRARTY MADE BY"/>
    <tableColumn id="20" xr3:uid="{98A2AADE-E5C1-49E2-ABE1-B98F6B0C2B8D}" name="LINK VIET NAM"/>
    <tableColumn id="19" xr3:uid="{D52BB468-55E0-45D2-8308-95E2153FC902}" name="LINK ORIGINAL"/>
    <tableColumn id="16" xr3:uid="{DCF4B0BD-FF6A-459B-924D-EE431D412EE1}" name="Library Ref"/>
    <tableColumn id="17" xr3:uid="{DB39F45C-DC75-482F-B83F-B13375EF31B9}" name="Footprint Ref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A315554-0D76-47AD-89EB-FA1E7F3640C4}" name="Components4567891011121314151617181920" displayName="Components4567891011121314151617181920" ref="A1:T3" totalsRowShown="0">
  <autoFilter ref="A1:T3" xr:uid="{4A315554-0D76-47AD-89EB-FA1E7F3640C4}"/>
  <tableColumns count="20">
    <tableColumn id="1" xr3:uid="{AF78A7CF-652E-4E93-A9DB-6AFADD49EFFB}" name="DatabaseID" dataDxfId="20">
      <calculatedColumnFormula>A1+1</calculatedColumnFormula>
    </tableColumn>
    <tableColumn id="2" xr3:uid="{CBE1A46B-7F99-428B-88BC-0A9F0C38BD58}" name="Manufacturer"/>
    <tableColumn id="3" xr3:uid="{4F0B923A-C8EA-4387-9986-4F4BA494A3E5}" name="Part Number"/>
    <tableColumn id="4" xr3:uid="{502D6C51-36BE-4C6E-9940-132A178791D5}" name="Description"/>
    <tableColumn id="5" xr3:uid="{E94087ED-C6AC-49F5-8D8F-B8D02FA71E7A}" name="Product Category"/>
    <tableColumn id="6" xr3:uid="{364E1922-9A35-44D7-B22B-A97C318F3BBD}" name="Value"/>
    <tableColumn id="7" xr3:uid="{32BA575C-6E49-44BD-B4A3-996DA612565F}" name="Alt-Value"/>
    <tableColumn id="8" xr3:uid="{9C22ADAF-EA95-4145-810F-5991041162A8}" name="Tolerance"/>
    <tableColumn id="9" xr3:uid="{F606280D-669C-4C6C-9DD7-21C26A4AA730}" name="DC Rating"/>
    <tableColumn id="10" xr3:uid="{99FA28EA-A34E-4126-8BE8-586F7D3C9897}" name="Power Rating"/>
    <tableColumn id="11" xr3:uid="{A3BEBFAF-01A4-4461-8068-64D746666941}" name="Package"/>
    <tableColumn id="12" xr3:uid="{B4E5AA07-F4FB-40F1-B43C-91E99EA25FA5}" name="Length"/>
    <tableColumn id="13" xr3:uid="{EF7F482F-818B-46D8-B442-5147F7BCDE7E}" name="Width"/>
    <tableColumn id="14" xr3:uid="{065431C4-69AF-4405-86E0-F4878224B302}" name="Hight"/>
    <tableColumn id="15" xr3:uid="{C8EC092D-9ABD-47E8-870B-677F9664EDBD}" name="Dimension [mm]"/>
    <tableColumn id="21" xr3:uid="{01F80621-41C8-4DC3-9755-CD20667E2A87}" name="LIBRARTY MADE BY"/>
    <tableColumn id="20" xr3:uid="{D6795D18-B0D1-440A-91EE-280A758EECAB}" name="LINK VIET NAM"/>
    <tableColumn id="19" xr3:uid="{9EE46A44-8D6B-4D7B-AA2E-79B4412E1E0C}" name="LINK ORIGINAL"/>
    <tableColumn id="16" xr3:uid="{E169FD72-7C32-415A-8B93-808673EE59A0}" name="Library Ref"/>
    <tableColumn id="17" xr3:uid="{C3CE8331-237B-4936-A0CA-9C1CC5D87C41}" name="Footprint Ref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F8DD739-2F10-432E-A7F5-9DFC2487E5F4}" name="Components456789101112131415161718192021" displayName="Components456789101112131415161718192021" ref="A1:T3" totalsRowShown="0">
  <autoFilter ref="A1:T3" xr:uid="{EF8DD739-2F10-432E-A7F5-9DFC2487E5F4}"/>
  <tableColumns count="20">
    <tableColumn id="1" xr3:uid="{B4ECC8DF-0C61-49D4-B85F-3A58B6BD4245}" name="DatabaseID" dataDxfId="19">
      <calculatedColumnFormula>A1+1</calculatedColumnFormula>
    </tableColumn>
    <tableColumn id="2" xr3:uid="{6778042B-5627-4161-9998-DED1F9113DE5}" name="Manufacturer"/>
    <tableColumn id="3" xr3:uid="{689B05CF-983C-4F52-9756-44CBA4842D3D}" name="Part Number"/>
    <tableColumn id="4" xr3:uid="{153498B9-5D1C-4536-8337-E7B47CB5DAB9}" name="Description"/>
    <tableColumn id="5" xr3:uid="{8EE15B30-232A-4F4C-8455-A0C96480D080}" name="Product Category"/>
    <tableColumn id="6" xr3:uid="{C10A1E86-9A8D-4192-AE7B-01034D9CE34D}" name="Value"/>
    <tableColumn id="7" xr3:uid="{399506A3-E0C9-4507-A5EE-0ADBE52B301E}" name="Alt-Value"/>
    <tableColumn id="8" xr3:uid="{9A966AE5-6E7F-4436-AB46-61880A12D8EB}" name="Tolerance"/>
    <tableColumn id="9" xr3:uid="{1113DF5E-FF50-4546-8661-7B81419BBE97}" name="DC Rating"/>
    <tableColumn id="10" xr3:uid="{193323B4-C612-4F6E-AFD7-163C2BABFA47}" name="Power Rating"/>
    <tableColumn id="11" xr3:uid="{9178323C-3E7C-47F5-979B-CD66E83F2FFD}" name="Package"/>
    <tableColumn id="12" xr3:uid="{F0F4881F-BC69-4E63-8E92-498055C02A74}" name="Length"/>
    <tableColumn id="13" xr3:uid="{573FC7A0-171B-4EA2-B885-EE6DDC9EEA3C}" name="Width"/>
    <tableColumn id="14" xr3:uid="{46BF2BF0-7655-4AB4-B28A-DF506544B986}" name="Hight"/>
    <tableColumn id="15" xr3:uid="{93135D29-61F2-4C00-8CA0-9E971C714F97}" name="Dimension [mm]"/>
    <tableColumn id="21" xr3:uid="{DD54FB3A-DF1F-47C6-880A-993A6C443E40}" name="LIBRARTY MADE BY"/>
    <tableColumn id="20" xr3:uid="{294AF7A5-E52E-4B61-B4AB-0B307D2F0132}" name="LINK VIET NAM"/>
    <tableColumn id="19" xr3:uid="{6D5BE196-9285-4C9E-8E42-26FF8BD0D838}" name="LINK ORIGINAL"/>
    <tableColumn id="16" xr3:uid="{4AC0AEE6-2DB1-4069-9176-55C079A8DCCD}" name="Library Ref"/>
    <tableColumn id="17" xr3:uid="{44F426F7-0BAF-44B8-A046-88398C4CE5FE}" name="Footprint Ref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69E996D-18F2-436C-AF1A-3E625930D172}" name="Components45678910111213141516171819202122" displayName="Components45678910111213141516171819202122" ref="A1:T3" totalsRowShown="0">
  <autoFilter ref="A1:T3" xr:uid="{D69E996D-18F2-436C-AF1A-3E625930D172}"/>
  <tableColumns count="20">
    <tableColumn id="1" xr3:uid="{897EB38F-4004-480D-9593-265254255135}" name="DatabaseID" dataDxfId="18">
      <calculatedColumnFormula>A1+1</calculatedColumnFormula>
    </tableColumn>
    <tableColumn id="2" xr3:uid="{6F307414-AAE7-450A-BB39-45F0E88A2AF7}" name="Manufacturer"/>
    <tableColumn id="3" xr3:uid="{A7F5D11A-CD54-40D3-A235-15D0F238F151}" name="Part Number"/>
    <tableColumn id="4" xr3:uid="{7C98974F-0AF9-4E42-B8A5-346A0310FFED}" name="Description"/>
    <tableColumn id="5" xr3:uid="{D81072C8-237C-42EA-AE91-374A855A626B}" name="Product Category"/>
    <tableColumn id="6" xr3:uid="{2F96242F-55D0-4D44-9B86-8AE1D251D1A1}" name="Value"/>
    <tableColumn id="7" xr3:uid="{F8F6CA4E-E4B2-46D2-8086-72DE3F0E617A}" name="Alt-Value"/>
    <tableColumn id="8" xr3:uid="{A25E8E27-5376-4F41-B5D3-E58374B98DE1}" name="Tolerance"/>
    <tableColumn id="9" xr3:uid="{107AC37F-6F11-4EBB-8D0B-263CC7EA568F}" name="DC Rating"/>
    <tableColumn id="10" xr3:uid="{61A92B3E-8B9D-4F0C-866C-BE49818AA41E}" name="Power Rating"/>
    <tableColumn id="11" xr3:uid="{C42A129A-048A-44F2-B6AD-28FB2FF041A3}" name="Package"/>
    <tableColumn id="12" xr3:uid="{72FCC111-8776-4B3C-9F18-AC51B6365DE2}" name="Length"/>
    <tableColumn id="13" xr3:uid="{38EFFF19-B8BE-46D5-A6D0-5ADBBB6E1F74}" name="Width"/>
    <tableColumn id="14" xr3:uid="{559A5EE5-9F75-4D9E-BC3F-F87DE06E2265}" name="Hight"/>
    <tableColumn id="15" xr3:uid="{F452FCEC-D431-40C5-9D25-D3335D17A58D}" name="Dimension [mm]"/>
    <tableColumn id="21" xr3:uid="{B2CFB02A-C5DC-4796-B30A-9D56C72C03A7}" name="LIBRARTY MADE BY"/>
    <tableColumn id="20" xr3:uid="{16FC76CA-F708-48A2-A8A9-46DEBE195BE8}" name="LINK VIET NAM"/>
    <tableColumn id="19" xr3:uid="{3557D571-EABF-4F17-9DA9-B8C119D965C9}" name="LINK ORIGINAL"/>
    <tableColumn id="16" xr3:uid="{C23F96FE-5002-40D7-8224-0E9143F4AD50}" name="Library Ref"/>
    <tableColumn id="17" xr3:uid="{4B6823A5-02B4-449E-9D8F-9F494607C88B}" name="Footprint Ref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6E5DB71-89A8-438C-8968-55E1C839788E}" name="Components4567891011121314151617181920212223" displayName="Components4567891011121314151617181920212223" ref="A1:T3" totalsRowShown="0">
  <autoFilter ref="A1:T3" xr:uid="{96E5DB71-89A8-438C-8968-55E1C839788E}"/>
  <tableColumns count="20">
    <tableColumn id="1" xr3:uid="{AE259D38-2A69-4D96-B140-00827E3F956B}" name="DatabaseID" dataDxfId="17">
      <calculatedColumnFormula>A1+1</calculatedColumnFormula>
    </tableColumn>
    <tableColumn id="2" xr3:uid="{D980588C-0EEF-4E52-BE01-5FE12FDFEC88}" name="Manufacturer"/>
    <tableColumn id="3" xr3:uid="{68CF9F3F-4DC4-4CF5-88EE-25660DD1C64E}" name="Part Number"/>
    <tableColumn id="4" xr3:uid="{8F7CDF93-5B34-482A-A3A0-7345AB17ACA2}" name="Description"/>
    <tableColumn id="5" xr3:uid="{32C93531-6991-4CE0-BEA0-CB80BC128324}" name="Product Category"/>
    <tableColumn id="6" xr3:uid="{9CE6D50C-171B-4C26-9D3D-FE234E8C44A3}" name="Value"/>
    <tableColumn id="7" xr3:uid="{AB024706-D915-4EC8-B7D8-A32E2D1BD731}" name="Alt-Value"/>
    <tableColumn id="8" xr3:uid="{B97F051B-B4AA-4BCD-BC66-330EABE2D5CA}" name="Tolerance"/>
    <tableColumn id="9" xr3:uid="{587CD8A3-A66B-417C-BC31-36073002354A}" name="DC Rating"/>
    <tableColumn id="10" xr3:uid="{33DB826A-364C-4AC1-BD49-BC1C8D7CFE1A}" name="Power Rating"/>
    <tableColumn id="11" xr3:uid="{A3DD3712-87A7-4E8E-8881-8617F4309DCF}" name="Package"/>
    <tableColumn id="12" xr3:uid="{1FC07431-60FC-4F1E-8752-C316BEE38824}" name="Length"/>
    <tableColumn id="13" xr3:uid="{23C6380E-0952-445F-BAE9-7D365D62633F}" name="Width"/>
    <tableColumn id="14" xr3:uid="{84344727-59B1-4AF2-882B-0E0F24C06131}" name="Hight"/>
    <tableColumn id="15" xr3:uid="{02AFF5E7-EEBC-42F8-9577-170E924BC336}" name="Dimension [mm]"/>
    <tableColumn id="21" xr3:uid="{00F137F0-C50D-4D2A-BDBE-2FD9895E7C85}" name="LIBRARTY MADE BY"/>
    <tableColumn id="20" xr3:uid="{4F3DBEA1-F7EC-4121-9458-8036B634F819}" name="LINK VIET NAM"/>
    <tableColumn id="19" xr3:uid="{CEA5C433-4744-44FE-AE4D-1286DE4F376E}" name="LINK ORIGINAL"/>
    <tableColumn id="16" xr3:uid="{D1FDA412-C1CB-4B8E-9B31-4972D1CD76DC}" name="Library Ref"/>
    <tableColumn id="17" xr3:uid="{8F26EF2B-F989-45D1-BD9C-4F98136218A7}" name="Footprint Ref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12855AC-393C-4166-891D-6BCDFEEFDDE6}" name="Components456789101112131415161718192021222324" displayName="Components456789101112131415161718192021222324" ref="A1:T3" totalsRowShown="0">
  <autoFilter ref="A1:T3" xr:uid="{B12855AC-393C-4166-891D-6BCDFEEFDDE6}"/>
  <tableColumns count="20">
    <tableColumn id="1" xr3:uid="{A9508A90-B6BF-425D-B699-96DB1DE8446C}" name="DatabaseID" dataDxfId="16">
      <calculatedColumnFormula>A1+1</calculatedColumnFormula>
    </tableColumn>
    <tableColumn id="2" xr3:uid="{9BE85CE0-6543-4E5F-B978-6A6B68A0E2EC}" name="Manufacturer"/>
    <tableColumn id="3" xr3:uid="{BC72BC4D-CBD2-445A-8DDC-399D564EB9CA}" name="Part Number"/>
    <tableColumn id="4" xr3:uid="{25841D7A-F4E2-44C3-AD25-28EB4E05C42F}" name="Description"/>
    <tableColumn id="5" xr3:uid="{5801CAB2-5475-4BA8-A34E-66689CF14CCB}" name="Product Category"/>
    <tableColumn id="6" xr3:uid="{AF69555B-68BB-4EE2-A657-1A64B5F922C3}" name="Value"/>
    <tableColumn id="7" xr3:uid="{3E62D417-B595-4AC0-A588-9D38F11ADA36}" name="Alt-Value"/>
    <tableColumn id="8" xr3:uid="{36D85282-AD27-462D-AAFE-C05B7CA54D84}" name="Tolerance"/>
    <tableColumn id="9" xr3:uid="{4305F88F-B048-4644-AA08-996B8911CDE0}" name="DC Rating"/>
    <tableColumn id="10" xr3:uid="{85BE37CF-F1D6-4FBE-98D0-179F4F5049D8}" name="Power Rating"/>
    <tableColumn id="11" xr3:uid="{5AA6992C-CC41-414D-A8C9-B2F68454E7CD}" name="Package"/>
    <tableColumn id="12" xr3:uid="{FE8F659A-DAEF-4E55-8F15-C1DBC0876BC0}" name="Length"/>
    <tableColumn id="13" xr3:uid="{AFE01DC0-27F0-4C9E-B798-53918EBD8ACD}" name="Width"/>
    <tableColumn id="14" xr3:uid="{73844A2A-FA54-4889-8A17-F5551FEA5523}" name="Hight"/>
    <tableColumn id="15" xr3:uid="{8F42B3E2-E3A2-40FF-81B2-CD91F076C5B0}" name="Dimension [mm]"/>
    <tableColumn id="21" xr3:uid="{AA511E38-0E55-4066-BE8E-F33B9D394A81}" name="LIBRARTY MADE BY"/>
    <tableColumn id="20" xr3:uid="{944E509C-857E-44F0-A685-D8690B6DED0E}" name="LINK VIET NAM"/>
    <tableColumn id="19" xr3:uid="{3DA5AEE8-B515-4606-98B7-4D0F78AECA09}" name="LINK ORIGINAL"/>
    <tableColumn id="16" xr3:uid="{E5380954-571B-4E8A-87AD-4650A8C6138F}" name="Library Ref"/>
    <tableColumn id="17" xr3:uid="{7C15DAA0-1C7A-4278-B623-ABA006B06F26}" name="Footprint Ref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C490F7E-6335-4926-A6D1-442EF68448F8}" name="Components45678910111213141516171819202122232425" displayName="Components45678910111213141516171819202122232425" ref="A1:T3" totalsRowShown="0">
  <autoFilter ref="A1:T3" xr:uid="{FC490F7E-6335-4926-A6D1-442EF68448F8}"/>
  <tableColumns count="20">
    <tableColumn id="1" xr3:uid="{DAC01CF0-8EE3-4535-A4FA-30161F0F9AF2}" name="DatabaseID" dataDxfId="15">
      <calculatedColumnFormula>A1+1</calculatedColumnFormula>
    </tableColumn>
    <tableColumn id="2" xr3:uid="{EA13D318-3DF8-4E6A-B876-676CDE58E536}" name="Manufacturer"/>
    <tableColumn id="3" xr3:uid="{42D0F448-0A5E-4349-B5DD-31ED20F446B9}" name="Part Number"/>
    <tableColumn id="4" xr3:uid="{6802F32E-7805-470A-BFF4-ABC26D1D0C44}" name="Description"/>
    <tableColumn id="5" xr3:uid="{785141A8-14E0-45AB-9981-7302B61EC99A}" name="Product Category"/>
    <tableColumn id="6" xr3:uid="{619F1D92-CC90-4764-9B7D-F3B98DDBAF70}" name="Value"/>
    <tableColumn id="7" xr3:uid="{9FCD123C-7033-405D-97A6-55B2E3B7B158}" name="Alt-Value"/>
    <tableColumn id="8" xr3:uid="{DE3A03A0-47FC-4E0D-AC99-9B0523E1D2EF}" name="Tolerance"/>
    <tableColumn id="9" xr3:uid="{46A5D6B7-B94B-49A3-B4B5-FF7FD1D3F097}" name="DC Rating"/>
    <tableColumn id="10" xr3:uid="{C9622F91-8371-4F4B-B073-C639EC48BAFF}" name="Power Rating"/>
    <tableColumn id="11" xr3:uid="{B804A9C8-0854-479E-858E-790996481566}" name="Package"/>
    <tableColumn id="12" xr3:uid="{382373B9-4F51-403F-A6FB-AC3F2A7682F3}" name="Length"/>
    <tableColumn id="13" xr3:uid="{15B50774-D56A-45F1-992B-C69ECD436FFD}" name="Width"/>
    <tableColumn id="14" xr3:uid="{EFB9E800-021B-4D55-B017-299D8A8B8353}" name="Hight"/>
    <tableColumn id="15" xr3:uid="{429D9CFF-34C3-47C0-9348-6382683BAC3B}" name="Dimension [mm]"/>
    <tableColumn id="21" xr3:uid="{55908D6D-0FB1-4138-B26A-794F9ADB37A1}" name="LIBRARTY MADE BY"/>
    <tableColumn id="20" xr3:uid="{7F3DA49B-0118-41E0-8E76-98DF699C51C7}" name="LINK VIET NAM"/>
    <tableColumn id="19" xr3:uid="{660B2910-8395-450F-9803-655990682CBA}" name="LINK ORIGINAL"/>
    <tableColumn id="16" xr3:uid="{5B8026D4-FC98-4A77-9DDD-1B124D089168}" name="Library Ref"/>
    <tableColumn id="17" xr3:uid="{F4628C22-563B-442A-83BF-83A4288A8AF4}" name="Footprint Ref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A156C8B-063D-4C31-A5C7-D653E75A4724}" name="Components4567891011121314151617181920212223242526" displayName="Components4567891011121314151617181920212223242526" ref="A1:T3" totalsRowShown="0">
  <autoFilter ref="A1:T3" xr:uid="{AA156C8B-063D-4C31-A5C7-D653E75A4724}"/>
  <tableColumns count="20">
    <tableColumn id="1" xr3:uid="{C82F1DA7-5957-4EC4-8EA5-122891C15B0F}" name="DatabaseID" dataDxfId="14">
      <calculatedColumnFormula>A1+1</calculatedColumnFormula>
    </tableColumn>
    <tableColumn id="2" xr3:uid="{2B30CD4C-E426-4A32-B3B8-E81631161FCA}" name="Manufacturer"/>
    <tableColumn id="3" xr3:uid="{0247754B-B939-41FC-A657-6E7E432FCA9B}" name="Part Number"/>
    <tableColumn id="4" xr3:uid="{5657399F-B5AE-4C33-9A78-6BA72B6CD544}" name="Description"/>
    <tableColumn id="5" xr3:uid="{90A0F0D9-391D-47E9-B347-0CFA3242F7C9}" name="Product Category"/>
    <tableColumn id="6" xr3:uid="{545A7AA5-2662-415A-8AD1-296810318FCB}" name="Value"/>
    <tableColumn id="7" xr3:uid="{380FF138-9C23-4DC5-AFCC-B8971DB8B0A1}" name="Alt-Value"/>
    <tableColumn id="8" xr3:uid="{FCE1621F-CCCF-4FEA-96DA-3A5AF0276E48}" name="Tolerance"/>
    <tableColumn id="9" xr3:uid="{2DA22691-7DE3-4CBE-8AAF-1156C6B04AC4}" name="DC Rating"/>
    <tableColumn id="10" xr3:uid="{B0CF6F6F-69C2-4177-85FB-EBC5A76F0096}" name="Power Rating"/>
    <tableColumn id="11" xr3:uid="{8641CE05-E7DB-4730-AB1C-C5CED9CFD891}" name="Package"/>
    <tableColumn id="12" xr3:uid="{A6EA7A66-8AFE-45A5-B9A0-31D15E256A12}" name="Length"/>
    <tableColumn id="13" xr3:uid="{55B53961-A679-4A75-BFEB-49EDDAF80880}" name="Width"/>
    <tableColumn id="14" xr3:uid="{373830B8-5A38-4FA1-B2D4-C52352EC5B8E}" name="Hight"/>
    <tableColumn id="15" xr3:uid="{39AC1C31-B5AB-4872-A3B7-E2DC36F8CF6D}" name="Dimension [mm]"/>
    <tableColumn id="21" xr3:uid="{F341A159-F63A-45C5-8BCA-4E7391250214}" name="LIBRARTY MADE BY"/>
    <tableColumn id="20" xr3:uid="{0BD30CCE-619B-4485-B385-5E9F9F0BACE2}" name="LINK VIET NAM"/>
    <tableColumn id="19" xr3:uid="{CE95A89E-C74D-4653-AAE1-7D5BA22F7B79}" name="LINK ORIGINAL"/>
    <tableColumn id="16" xr3:uid="{BA6C7122-602C-45E9-9B02-1AD838A8C056}" name="Library Ref"/>
    <tableColumn id="17" xr3:uid="{6BE2D28F-6421-4032-9B37-8E45D0EB3580}" name="Footprint Ref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ECA5B900-2671-4185-8DC4-79EF9362FB7A}" name="Components456789101112131415161718192021222324252627" displayName="Components456789101112131415161718192021222324252627" ref="A1:T3" totalsRowShown="0">
  <autoFilter ref="A1:T3" xr:uid="{ECA5B900-2671-4185-8DC4-79EF9362FB7A}"/>
  <tableColumns count="20">
    <tableColumn id="1" xr3:uid="{A850B7B4-7E06-4DA1-BD07-4E44E5D67D64}" name="DatabaseID" dataDxfId="13">
      <calculatedColumnFormula>A1+1</calculatedColumnFormula>
    </tableColumn>
    <tableColumn id="2" xr3:uid="{DCE17B13-E37D-49D3-A05D-CC69F767261D}" name="Manufacturer"/>
    <tableColumn id="3" xr3:uid="{38DD0410-F421-4230-A8EE-34982C057D63}" name="Part Number"/>
    <tableColumn id="4" xr3:uid="{FE2E81C3-368B-4703-9461-92DE4E9EE2AE}" name="Description"/>
    <tableColumn id="5" xr3:uid="{ECFB0A90-C3D7-4D0C-9793-1212A0ADE473}" name="Product Category"/>
    <tableColumn id="6" xr3:uid="{24AB26DC-1D7D-4CFD-B92E-76792E0CB78B}" name="Value"/>
    <tableColumn id="7" xr3:uid="{1AF6870A-E1D5-4068-BDAB-9E423E34A992}" name="Alt-Value"/>
    <tableColumn id="8" xr3:uid="{31B7BBA1-07FC-4ECD-8C38-19DF28E97224}" name="Tolerance"/>
    <tableColumn id="9" xr3:uid="{2E6633DB-C6E8-44A3-A7A9-C9AB3F2D89DB}" name="DC Rating"/>
    <tableColumn id="10" xr3:uid="{186BDF53-CBC5-450C-8B42-4C5FB22E58ED}" name="Power Rating"/>
    <tableColumn id="11" xr3:uid="{1BEB2404-8D7D-4C84-8B50-8769640203B0}" name="Package"/>
    <tableColumn id="12" xr3:uid="{9A7153C5-D28F-45BB-B418-242592AE0C12}" name="Length"/>
    <tableColumn id="13" xr3:uid="{7A415108-D0CF-4645-A03D-7E2322BFE140}" name="Width"/>
    <tableColumn id="14" xr3:uid="{CD00943F-4977-4C4F-8901-9C6B5114D595}" name="Hight"/>
    <tableColumn id="15" xr3:uid="{F573F877-8E8F-493A-A40C-9009614AD492}" name="Dimension [mm]"/>
    <tableColumn id="21" xr3:uid="{360043EE-4767-4B8B-90F6-53DE7BB73666}" name="LIBRARTY MADE BY"/>
    <tableColumn id="20" xr3:uid="{FF727133-1543-4163-9798-4A2B70EECE6D}" name="LINK VIET NAM"/>
    <tableColumn id="19" xr3:uid="{970C5104-AF14-487D-975F-6477E83E73CE}" name="LINK ORIGINAL"/>
    <tableColumn id="16" xr3:uid="{BC019ABA-F6DD-4B0E-BFCE-E5C037AAE4B3}" name="Library Ref"/>
    <tableColumn id="17" xr3:uid="{5DED0F8A-484F-4248-B3D1-E69ECB824C8E}" name="Footprint Ref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9AD108D-6072-456D-8958-ECEBC45ECF16}" name="Components45678910111213141516171819202122232425262728" displayName="Components45678910111213141516171819202122232425262728" ref="A1:T3" totalsRowShown="0">
  <autoFilter ref="A1:T3" xr:uid="{99AD108D-6072-456D-8958-ECEBC45ECF16}"/>
  <tableColumns count="20">
    <tableColumn id="1" xr3:uid="{15F1E83A-F1F5-4237-B3C7-EE64BD2B3023}" name="DatabaseID" dataDxfId="12">
      <calculatedColumnFormula>A1+1</calculatedColumnFormula>
    </tableColumn>
    <tableColumn id="2" xr3:uid="{0FF54DD9-F8B5-48CD-AE2E-DACDC16BCA16}" name="Manufacturer"/>
    <tableColumn id="3" xr3:uid="{35020A61-9F9D-4411-BA3D-2361D252D3C4}" name="Part Number"/>
    <tableColumn id="4" xr3:uid="{B37B9A1E-84C0-467B-AFAD-5FF05EBE5C44}" name="Description"/>
    <tableColumn id="5" xr3:uid="{90D9C95B-A4A0-4D2F-A512-4F628BF79C09}" name="Product Category"/>
    <tableColumn id="6" xr3:uid="{B901C8C5-B826-4B79-BBFE-C550AF0AA3EC}" name="Value"/>
    <tableColumn id="7" xr3:uid="{4ECFA69D-81E7-44BF-844E-6271A9EF33CC}" name="Alt-Value"/>
    <tableColumn id="8" xr3:uid="{CBF4B655-A876-4277-A204-1C5FCDA92714}" name="Tolerance"/>
    <tableColumn id="9" xr3:uid="{7F222FDC-9690-425D-9952-F1DB60125522}" name="DC Rating"/>
    <tableColumn id="10" xr3:uid="{6DF21512-347D-4F2A-A008-BCB30FB81C3C}" name="Power Rating"/>
    <tableColumn id="11" xr3:uid="{3936317E-074E-4A32-B451-6FBF079EB9A7}" name="Package"/>
    <tableColumn id="12" xr3:uid="{7BE12E03-5E2C-4533-BFB7-79D8EF11E488}" name="Length"/>
    <tableColumn id="13" xr3:uid="{29EFC65B-2530-4B8A-AD80-F6962A54742A}" name="Width"/>
    <tableColumn id="14" xr3:uid="{87C9B861-9E6B-4C9D-96F1-96CE4FE3DA8D}" name="Hight"/>
    <tableColumn id="15" xr3:uid="{AFC2EF9A-C362-4D27-A83E-68BD94BD74CF}" name="Dimension [mm]"/>
    <tableColumn id="21" xr3:uid="{E4F2A439-124A-4E9C-B927-AB649CA4DAB6}" name="LIBRARTY MADE BY"/>
    <tableColumn id="20" xr3:uid="{2C6F19BC-57BC-45F8-9A39-CCFC64DA79E0}" name="LINK VIET NAM"/>
    <tableColumn id="19" xr3:uid="{6A70B7A5-B69D-499D-878D-01F7D4990DC2}" name="LINK ORIGINAL"/>
    <tableColumn id="16" xr3:uid="{DC0750FE-308E-480F-B73F-2E49058951F3}" name="Library Ref"/>
    <tableColumn id="17" xr3:uid="{28EDDF54-99D8-4DED-9F27-377A570603C3}" name="Footprint Ref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726D0D0-5594-43A3-9271-DE7EBDD36EDC}" name="Components4567891011121314151617181920212223242526272829" displayName="Components4567891011121314151617181920212223242526272829" ref="A1:T3" totalsRowShown="0">
  <autoFilter ref="A1:T3" xr:uid="{D726D0D0-5594-43A3-9271-DE7EBDD36EDC}"/>
  <tableColumns count="20">
    <tableColumn id="1" xr3:uid="{0FAE77C5-5A67-42D2-A38F-58165AF736EC}" name="DatabaseID" dataDxfId="11">
      <calculatedColumnFormula>A1+1</calculatedColumnFormula>
    </tableColumn>
    <tableColumn id="2" xr3:uid="{A0F71F7F-78DE-4FAC-954F-08C402910EE7}" name="Manufacturer"/>
    <tableColumn id="3" xr3:uid="{DC7639D1-859B-480A-A256-DE209A6411E4}" name="Part Number"/>
    <tableColumn id="4" xr3:uid="{BD22C1C1-4D43-4B33-8D87-329A02DC5B9D}" name="Description"/>
    <tableColumn id="5" xr3:uid="{588C7B27-E0CC-48E6-9608-DFCD6B9A4EBD}" name="Product Category"/>
    <tableColumn id="6" xr3:uid="{93642530-8A4B-4FFC-999F-8F7D804E009E}" name="Value"/>
    <tableColumn id="7" xr3:uid="{E44E140F-B758-49FE-A305-EE1E2F384BF0}" name="Alt-Value"/>
    <tableColumn id="8" xr3:uid="{56E113F3-22B1-4BBA-BB26-F056214E6738}" name="Tolerance"/>
    <tableColumn id="9" xr3:uid="{6B7534B3-B5BF-4205-B4C5-AC87D8683D79}" name="DC Rating"/>
    <tableColumn id="10" xr3:uid="{B2E85105-9692-43A9-B38C-E839C3477440}" name="Power Rating"/>
    <tableColumn id="11" xr3:uid="{2FEE89E9-B605-4412-8522-9B4D544683EB}" name="Package"/>
    <tableColumn id="12" xr3:uid="{1A4AD41F-0F87-490A-A7C9-9E851BE77BA4}" name="Length"/>
    <tableColumn id="13" xr3:uid="{58CB2E34-A134-4F1A-A4AC-6C7DCE01122B}" name="Width"/>
    <tableColumn id="14" xr3:uid="{ABD1B830-A0C1-448E-8204-53A7DCB6EE74}" name="Hight"/>
    <tableColumn id="15" xr3:uid="{15BAA972-4FE0-46FB-A0A1-891E75B3CB36}" name="Dimension [mm]"/>
    <tableColumn id="21" xr3:uid="{F25B7B31-B1D4-4AA0-8F35-76061377E637}" name="LIBRARTY MADE BY"/>
    <tableColumn id="20" xr3:uid="{1AB1782C-83DE-4F2E-A1F3-6D1204B03B43}" name="LINK VIET NAM"/>
    <tableColumn id="19" xr3:uid="{FF85DD83-3395-45B3-B5AE-AA89EF833244}" name="LINK ORIGINAL"/>
    <tableColumn id="16" xr3:uid="{930766D8-5DC3-4B3A-B8C4-15586DFA2FE3}" name="Library Ref"/>
    <tableColumn id="17" xr3:uid="{67E58081-48E4-411D-B5A2-39A3CEFCB816}" name="Footprint Ref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9B65698-F737-435A-8A2A-06007DFE8F3D}" name="Components456789101112131415161718192021222324252627282930" displayName="Components456789101112131415161718192021222324252627282930" ref="A1:T5" totalsRowShown="0">
  <autoFilter ref="A1:T5" xr:uid="{09B65698-F737-435A-8A2A-06007DFE8F3D}"/>
  <tableColumns count="20">
    <tableColumn id="1" xr3:uid="{08FB92D5-E4CF-4D33-9C8C-5A4A175ADFB8}" name="DatabaseID" dataDxfId="10">
      <calculatedColumnFormula>A1+1</calculatedColumnFormula>
    </tableColumn>
    <tableColumn id="2" xr3:uid="{66E2AC9F-89F0-46FB-94F0-87FA81206EAD}" name="Manufacturer"/>
    <tableColumn id="3" xr3:uid="{5B722E1F-2A91-4916-B439-9AB0BA4380F1}" name="Part Number"/>
    <tableColumn id="4" xr3:uid="{7BB46F35-EAF2-4892-B295-D50962507FA3}" name="Description" dataDxfId="9"/>
    <tableColumn id="5" xr3:uid="{244BD96D-467D-4001-B7D8-23FB1034483B}" name="Product Category"/>
    <tableColumn id="6" xr3:uid="{A71017EC-B98A-4A14-BF99-A5E689595C71}" name="Value"/>
    <tableColumn id="7" xr3:uid="{D891CEBC-8FC7-40B3-A0B2-481AD8C10C44}" name="Alt-Value" dataDxfId="8">
      <calculatedColumnFormula>Components456789101112131415161718192021222324252627282930[[#This Row],[Value]]</calculatedColumnFormula>
    </tableColumn>
    <tableColumn id="8" xr3:uid="{E8D869A4-F759-4307-8D73-1D305C16EFC0}" name="Tolerance"/>
    <tableColumn id="9" xr3:uid="{43423CF5-317B-443E-A8A9-DD570EC7E1B7}" name="DC Rating"/>
    <tableColumn id="10" xr3:uid="{7284555C-AE6E-45D7-9AD4-2FF3E3D6B02E}" name="Power Rating"/>
    <tableColumn id="11" xr3:uid="{FAAF4B08-0D25-4320-AEFE-FDDF1079D796}" name="Package"/>
    <tableColumn id="12" xr3:uid="{B2748BB7-B383-4FBC-B581-F3C1563D26D7}" name="Length"/>
    <tableColumn id="13" xr3:uid="{E56A9874-1DFA-427D-BB57-5E7AD64DCA88}" name="Width"/>
    <tableColumn id="14" xr3:uid="{C47798A7-6DD1-49E9-8792-AA6F1016C617}" name="Hight"/>
    <tableColumn id="15" xr3:uid="{07BAC700-9FDD-4FF8-A99E-867BFB554A31}" name="Dimension [mm]"/>
    <tableColumn id="21" xr3:uid="{64E9936E-A1F7-4F43-A760-A877EB474B05}" name="LIBRARTY MADE BY"/>
    <tableColumn id="20" xr3:uid="{E9E46305-0616-4B02-921B-A041C295B592}" name="LINK VIET NAM"/>
    <tableColumn id="19" xr3:uid="{7955C37D-EDE0-4983-BD3A-28A2A87B9F32}" name="LINK ORIGINAL"/>
    <tableColumn id="16" xr3:uid="{30C25536-188A-4629-A76F-78CFF47F2262}" name="Library Ref"/>
    <tableColumn id="17" xr3:uid="{2C752D0F-4A78-4F2C-8198-CBBECD31B698}" name="Footprint Ref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A2F07F9C-3415-419F-B4F2-6740FA500014}" name="Components45678910111213141516171819202122232425262728293031" displayName="Components45678910111213141516171819202122232425262728293031" ref="A1:T3" totalsRowShown="0">
  <autoFilter ref="A1:T3" xr:uid="{A2F07F9C-3415-419F-B4F2-6740FA500014}"/>
  <tableColumns count="20">
    <tableColumn id="1" xr3:uid="{2C685010-A53D-40D6-8503-0B78E6D29F06}" name="DatabaseID" dataDxfId="7">
      <calculatedColumnFormula>A1+1</calculatedColumnFormula>
    </tableColumn>
    <tableColumn id="2" xr3:uid="{80195E7B-5069-475C-9E67-8B77C4A02192}" name="Manufacturer"/>
    <tableColumn id="3" xr3:uid="{2A797723-3750-4C4A-A9FA-469A856269BE}" name="Part Number"/>
    <tableColumn id="4" xr3:uid="{A6193D79-0EA4-44D1-A230-C88E64A0E5AC}" name="Description"/>
    <tableColumn id="5" xr3:uid="{C8265A0E-D8E0-47BE-96B6-187A8FA03A97}" name="Product Category"/>
    <tableColumn id="6" xr3:uid="{9A45ED37-4E13-40B2-AE1A-E8BCC8740781}" name="Value"/>
    <tableColumn id="7" xr3:uid="{F0AA01FF-BF7F-4306-AA59-CB9357BE4B4A}" name="Alt-Value"/>
    <tableColumn id="8" xr3:uid="{1A65D7E5-7528-453F-B1CF-CAB9899D90E9}" name="Tolerance"/>
    <tableColumn id="9" xr3:uid="{9AFF8A3F-E80A-4859-AD09-62A97F2A10B4}" name="DC Rating"/>
    <tableColumn id="10" xr3:uid="{79B445E7-7E8D-41C6-92F7-A9008DB214C3}" name="Power Rating"/>
    <tableColumn id="11" xr3:uid="{AEC9B627-D2F2-4F57-8519-39CA61AF53C3}" name="Package"/>
    <tableColumn id="12" xr3:uid="{77F73F90-7FBC-447D-84C3-3B1B976A2C9D}" name="Length"/>
    <tableColumn id="13" xr3:uid="{20059D51-AB5B-4755-982A-9C0CB6541B8D}" name="Width"/>
    <tableColumn id="14" xr3:uid="{20C78974-EB14-435F-9C0E-D456060F30C4}" name="Hight"/>
    <tableColumn id="15" xr3:uid="{4BB21234-8393-4D3E-8F1C-D7D0CC009BC7}" name="Dimension [mm]"/>
    <tableColumn id="21" xr3:uid="{B08B5D53-FC1A-4F1A-9AB1-1A1BB2D845A9}" name="LIBRARTY MADE BY"/>
    <tableColumn id="20" xr3:uid="{F3B3353B-72E9-4987-8BA1-F4A4DA94E458}" name="LINK VIET NAM"/>
    <tableColumn id="19" xr3:uid="{A630ED2F-C1A0-431D-8C19-95956F80A4E6}" name="LINK ORIGINAL"/>
    <tableColumn id="16" xr3:uid="{36C32F20-4A48-4223-B656-F934D4841A2A}" name="Library Ref"/>
    <tableColumn id="17" xr3:uid="{13CFA210-DEEC-485B-9E35-949D5AA13121}" name="Footprint Ref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B482627C-4C57-4309-9FC5-7BDD6ABCCB58}" name="Components4567891011121314151617181920212223242526272829303132" displayName="Components4567891011121314151617181920212223242526272829303132" ref="A1:T3" totalsRowShown="0">
  <autoFilter ref="A1:T3" xr:uid="{B482627C-4C57-4309-9FC5-7BDD6ABCCB58}"/>
  <tableColumns count="20">
    <tableColumn id="1" xr3:uid="{0A602CBF-47C7-4B93-9384-AD5DFB094008}" name="DatabaseID" dataDxfId="6">
      <calculatedColumnFormula>A1+1</calculatedColumnFormula>
    </tableColumn>
    <tableColumn id="2" xr3:uid="{3977ACE7-D9CE-4FA8-9C00-2D3EA17ECB0E}" name="Manufacturer"/>
    <tableColumn id="3" xr3:uid="{322482B6-9DE2-4230-92BF-0F542E5D15AA}" name="Part Number"/>
    <tableColumn id="4" xr3:uid="{E42B997B-97D6-4B1C-89CB-F4650CBBC1F8}" name="Description"/>
    <tableColumn id="5" xr3:uid="{69404D60-7FA7-4686-8F58-9C82F4F596E7}" name="Product Category"/>
    <tableColumn id="6" xr3:uid="{02E0773D-D6BA-487E-A413-1E8561676310}" name="Value"/>
    <tableColumn id="7" xr3:uid="{3C9197BD-6C29-4AC9-B46A-B1E5116A6520}" name="Alt-Value"/>
    <tableColumn id="8" xr3:uid="{87901293-3743-4D2C-84E3-2B16C0CFE539}" name="Tolerance"/>
    <tableColumn id="9" xr3:uid="{24664D48-DF27-4FEC-8C36-564DC2173139}" name="DC Rating"/>
    <tableColumn id="10" xr3:uid="{64184C0F-B763-4CFE-8CB2-DFFB42DF92FF}" name="Power Rating"/>
    <tableColumn id="11" xr3:uid="{CA5440EB-9C4C-4255-8B80-5043D95ED673}" name="Package"/>
    <tableColumn id="12" xr3:uid="{BB1356F8-70D8-4E6E-97E7-F2BAC7CE840B}" name="Length"/>
    <tableColumn id="13" xr3:uid="{7122B628-5C42-4B92-B490-6A92C204E1D4}" name="Width"/>
    <tableColumn id="14" xr3:uid="{1814727C-4F2B-449F-A973-8745B8D03C05}" name="Hight"/>
    <tableColumn id="15" xr3:uid="{40207DE7-35B6-430A-AAC3-7DE3AAD998A4}" name="Dimension [mm]"/>
    <tableColumn id="21" xr3:uid="{BFE9AE10-61E4-4F85-AAF9-670806B05A8F}" name="LIBRARTY MADE BY"/>
    <tableColumn id="20" xr3:uid="{73968181-B501-46DD-8327-0E7A4A22C61F}" name="LINK VIET NAM"/>
    <tableColumn id="19" xr3:uid="{72B88BC9-D015-4520-A6C0-0C9914623222}" name="LINK ORIGINAL"/>
    <tableColumn id="16" xr3:uid="{15946218-90EE-403B-B685-A31557E0232E}" name="Library Ref"/>
    <tableColumn id="17" xr3:uid="{32CC63C4-08C6-4489-86AD-4146BA9754FE}" name="Footprint Ref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BBC523-CB95-4915-8D88-D8C34C853DBB}" name="Components45678910111213141516171819202122232425262728293031322" displayName="Components45678910111213141516171819202122232425262728293031322" ref="A1:T11" totalsRowShown="0">
  <autoFilter ref="A1:T11" xr:uid="{ABBBC523-CB95-4915-8D88-D8C34C853DBB}"/>
  <tableColumns count="20">
    <tableColumn id="1" xr3:uid="{9F66C2F7-EB25-4D06-AB5B-B26520A62E98}" name="DatabaseID" dataDxfId="5">
      <calculatedColumnFormula>A1+1</calculatedColumnFormula>
    </tableColumn>
    <tableColumn id="2" xr3:uid="{E95E56B0-C4F3-49BA-AD04-84FA1BF9DE58}" name="Manufacturer"/>
    <tableColumn id="3" xr3:uid="{DD33760F-08F1-47B8-8192-8EF4A4C44FD8}" name="Part Number"/>
    <tableColumn id="4" xr3:uid="{D9A2F87B-D5A8-4848-8B70-7359C1DDA8F0}" name="Description"/>
    <tableColumn id="5" xr3:uid="{4C30D574-9DE1-4C10-B050-D28F5C8EC224}" name="Product Category"/>
    <tableColumn id="6" xr3:uid="{F213895A-9492-4D74-A060-8C585A1D52AC}" name="Value"/>
    <tableColumn id="7" xr3:uid="{6CDBC39A-0257-44C6-91D4-6B2E387CA238}" name="Alt-Value" dataDxfId="4">
      <calculatedColumnFormula>F2</calculatedColumnFormula>
    </tableColumn>
    <tableColumn id="8" xr3:uid="{6E6B633D-343D-40EA-B986-0C90A47DBA04}" name="Tolerance"/>
    <tableColumn id="9" xr3:uid="{AF7C5240-EAFA-4328-9326-F2D002A0CD5B}" name="DC Rating"/>
    <tableColumn id="10" xr3:uid="{ED5BA9CA-15F6-4555-B89E-5BA7E16CC399}" name="Power Rating"/>
    <tableColumn id="11" xr3:uid="{4B84E508-3289-4C30-90E8-2A1CFBF50B22}" name="Package"/>
    <tableColumn id="12" xr3:uid="{1E062842-1A47-4E2C-91CF-A8D63013876E}" name="Length"/>
    <tableColumn id="13" xr3:uid="{07906243-9DA3-4165-BF76-7FAD59E98F4B}" name="Width"/>
    <tableColumn id="14" xr3:uid="{E0185A16-42C1-4448-A5F0-419632A68E02}" name="Hight"/>
    <tableColumn id="15" xr3:uid="{A02E02F7-66E9-410F-A8E5-19D93FD65DA0}" name="Dimension [mm]"/>
    <tableColumn id="21" xr3:uid="{D7F1075B-3553-484C-84DE-30F8DF317E87}" name="LIBRARTY MADE BY"/>
    <tableColumn id="20" xr3:uid="{E481D338-680D-418A-AA08-B8DA92748413}" name="LINK VIET NAM"/>
    <tableColumn id="19" xr3:uid="{766DDDE0-60E3-4B8E-B374-F10FA33D3D1C}" name="LINK ORIGINAL"/>
    <tableColumn id="16" xr3:uid="{9613BA00-0437-45D3-A524-E8BFA0B0DCE8}" name="Library Ref"/>
    <tableColumn id="17" xr3:uid="{EDB2A417-6226-4A1F-A5DF-B2D20B3A3C19}" name="Footprint Ref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5BCBC2F-E1E3-487F-B075-049471BC01F7}" name="Components456789101112131415161718192021222324252627282930313233" displayName="Components456789101112131415161718192021222324252627282930313233" ref="A1:T3" totalsRowShown="0">
  <autoFilter ref="A1:T3" xr:uid="{B5BCBC2F-E1E3-487F-B075-049471BC01F7}"/>
  <tableColumns count="20">
    <tableColumn id="1" xr3:uid="{7E583A5B-7DC8-4149-94DD-0C6B747CD94F}" name="DatabaseID" dataDxfId="3">
      <calculatedColumnFormula>A1+1</calculatedColumnFormula>
    </tableColumn>
    <tableColumn id="2" xr3:uid="{CA844445-7480-44D2-A254-568DDCB9A9F3}" name="Manufacturer"/>
    <tableColumn id="3" xr3:uid="{9E48720D-1D63-4013-BA71-B0C3EB7D83A0}" name="Part Number"/>
    <tableColumn id="4" xr3:uid="{BEA8EEC3-D436-4BC2-A511-BDB1AA4FC5C2}" name="Description"/>
    <tableColumn id="5" xr3:uid="{CDECCC86-7487-4EE4-8CB1-61FA59EDB647}" name="Product Category"/>
    <tableColumn id="6" xr3:uid="{4C55584C-4E5C-4ED3-B730-6CC590A97230}" name="Value"/>
    <tableColumn id="7" xr3:uid="{91182AF1-02F0-4F41-96D5-5A6BCDC10CDF}" name="Alt-Value"/>
    <tableColumn id="8" xr3:uid="{5C02948F-374F-4369-BBD0-4FDEBE34A9DC}" name="Tolerance"/>
    <tableColumn id="9" xr3:uid="{9587C0F6-F881-41F0-991D-40F69CD73B3D}" name="DC Rating"/>
    <tableColumn id="10" xr3:uid="{BAC4A359-A977-44CD-9EE9-268B59B1B994}" name="Power Rating"/>
    <tableColumn id="11" xr3:uid="{72F67443-45AC-4C68-9222-B76235EFF594}" name="Package"/>
    <tableColumn id="12" xr3:uid="{422C78D4-6241-4A7B-812F-0DE49905C500}" name="Length"/>
    <tableColumn id="13" xr3:uid="{E3B09AD9-EF3E-4835-A492-71D5D2C1D8DF}" name="Width"/>
    <tableColumn id="14" xr3:uid="{3352BCAB-F40B-4CBC-A6D2-887E1D8DACBF}" name="Hight"/>
    <tableColumn id="15" xr3:uid="{488CEF06-850A-4376-8ED3-1B3FABD6558A}" name="Dimension [mm]"/>
    <tableColumn id="21" xr3:uid="{61047998-DCED-485A-935B-C00363DED66E}" name="LIBRARTY MADE BY"/>
    <tableColumn id="20" xr3:uid="{C414ABC6-52AC-4905-AF5F-588CC1A19402}" name="LINK VIET NAM"/>
    <tableColumn id="19" xr3:uid="{0DD23D61-7D56-42DE-9510-48FC2D7F0B5A}" name="LINK ORIGINAL"/>
    <tableColumn id="16" xr3:uid="{3E8972AE-A388-4380-B1B6-2740C8B47B14}" name="Library Ref"/>
    <tableColumn id="17" xr3:uid="{C53094D1-F40F-45D1-A488-6618E7124D0C}" name="Footprint Ref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340FCA61-B1B9-4239-9309-6FCFDF27EB75}" name="Components45678910111213141516171819202122232425262728293031323334" displayName="Components45678910111213141516171819202122232425262728293031323334" ref="A1:T3" totalsRowShown="0">
  <autoFilter ref="A1:T3" xr:uid="{340FCA61-B1B9-4239-9309-6FCFDF27EB75}"/>
  <tableColumns count="20">
    <tableColumn id="1" xr3:uid="{71DDE3FC-E727-4F7A-8E30-D50D7B1E8405}" name="DatabaseID" dataDxfId="2">
      <calculatedColumnFormula>A1+1</calculatedColumnFormula>
    </tableColumn>
    <tableColumn id="2" xr3:uid="{D173F0E7-A5E0-4DC0-A334-E3449D9DE0BC}" name="Manufacturer"/>
    <tableColumn id="3" xr3:uid="{EA085117-674C-4BF4-A8B0-109C5783BFBC}" name="Part Number"/>
    <tableColumn id="4" xr3:uid="{FA533BE1-0F5C-4A3D-9981-DA7DC848A412}" name="Description"/>
    <tableColumn id="5" xr3:uid="{45FC7820-0D4A-4BC3-84CF-7722CA481123}" name="Product Category"/>
    <tableColumn id="6" xr3:uid="{0DC95460-DE7F-48F3-974E-910189335BEB}" name="Value"/>
    <tableColumn id="7" xr3:uid="{7880F4D7-9BB6-4B66-AC0D-8CAB6F41E3A1}" name="Alt-Value"/>
    <tableColumn id="8" xr3:uid="{E5306545-3906-4C4E-8414-F641E7725C55}" name="Tolerance"/>
    <tableColumn id="9" xr3:uid="{D819421E-B313-4864-884F-82B09133F630}" name="DC Rating"/>
    <tableColumn id="10" xr3:uid="{EE012667-83F2-4472-996F-C2E8B77C467E}" name="Power Rating"/>
    <tableColumn id="11" xr3:uid="{82398883-640B-4298-8159-6CF73FA2EEC9}" name="Package"/>
    <tableColumn id="12" xr3:uid="{398FB044-CF53-4983-88C6-3C2C01F5F510}" name="Length"/>
    <tableColumn id="13" xr3:uid="{A5355700-013C-4E0C-8EE7-76B29237BB3E}" name="Width"/>
    <tableColumn id="14" xr3:uid="{ADBD3951-125D-4E97-9D09-A68FB970F578}" name="Hight"/>
    <tableColumn id="15" xr3:uid="{EE37D237-F105-45DF-B5B3-F1751228FAC8}" name="Dimension [mm]"/>
    <tableColumn id="21" xr3:uid="{9B80F48C-9A70-49A0-AF6F-4F4EE1D41071}" name="LIBRARTY MADE BY"/>
    <tableColumn id="20" xr3:uid="{B2DB1EAC-3C87-4B65-8F97-59B5C1FFFAFB}" name="LINK VIET NAM"/>
    <tableColumn id="19" xr3:uid="{6D4687C1-7BA9-4C33-82B8-0C77771266AC}" name="LINK ORIGINAL"/>
    <tableColumn id="16" xr3:uid="{2FAE0B51-09AE-4632-93D9-2EFDEC587DB1}" name="Library Ref"/>
    <tableColumn id="17" xr3:uid="{8276CFEF-0EFE-4E5E-9560-EDEE3DFCEDF7}" name="Footprint Ref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107F035A-C7AD-4306-AF3C-6F2FD9509620}" name="Components4567891011121314151617181920212223242526272829303132333435" displayName="Components4567891011121314151617181920212223242526272829303132333435" ref="A1:T3" totalsRowShown="0">
  <autoFilter ref="A1:T3" xr:uid="{107F035A-C7AD-4306-AF3C-6F2FD9509620}"/>
  <tableColumns count="20">
    <tableColumn id="1" xr3:uid="{8E911C77-A045-4EF3-B374-7185BFEF6DB6}" name="DatabaseID" dataDxfId="1">
      <calculatedColumnFormula>A1+1</calculatedColumnFormula>
    </tableColumn>
    <tableColumn id="2" xr3:uid="{6101256D-27D7-4F0C-BF30-6F9EB6924C1F}" name="Manufacturer"/>
    <tableColumn id="3" xr3:uid="{81622B5A-2EEF-47F0-8490-0A1C219BC333}" name="Part Number"/>
    <tableColumn id="4" xr3:uid="{F27CC47A-5BBE-4A2A-8D9A-26756874116F}" name="Description"/>
    <tableColumn id="5" xr3:uid="{5A3231C2-5FDB-4E72-9C52-CB1ADFAE4E17}" name="Product Category"/>
    <tableColumn id="6" xr3:uid="{70C8B6DF-EDCF-46FB-AE9B-38F224967189}" name="Value"/>
    <tableColumn id="7" xr3:uid="{1E6C2520-6A96-4979-AB98-BE48B8AE1006}" name="Alt-Value"/>
    <tableColumn id="8" xr3:uid="{E9E7C933-7161-49E4-8692-3D231354B8D3}" name="Tolerance"/>
    <tableColumn id="9" xr3:uid="{AD824EC4-7483-4BF9-9F0A-0219B46448D1}" name="DC Rating"/>
    <tableColumn id="10" xr3:uid="{1A8B9981-45B4-4539-B3EF-1E405D384A53}" name="Power Rating"/>
    <tableColumn id="11" xr3:uid="{35A19A24-2073-47A5-BF14-A5F046413ACB}" name="Package"/>
    <tableColumn id="12" xr3:uid="{CBAFB407-3AAF-4B63-A335-29BC18C22981}" name="Length"/>
    <tableColumn id="13" xr3:uid="{F76417A2-D536-4CDE-A213-ED5D09663335}" name="Width"/>
    <tableColumn id="14" xr3:uid="{33332AAC-E5FF-4015-A3BF-5055657CFD64}" name="Hight"/>
    <tableColumn id="15" xr3:uid="{07F599DF-E885-434D-BA44-E6F1886AEA43}" name="Dimension [mm]"/>
    <tableColumn id="21" xr3:uid="{2D87E17C-1DA3-43DF-9087-4C2D6E35C04A}" name="LIBRARTY MADE BY"/>
    <tableColumn id="20" xr3:uid="{EE359CB1-C214-481F-A656-EC0731CB1D3F}" name="LINK VIET NAM"/>
    <tableColumn id="19" xr3:uid="{CA1A39A9-89CF-4DFA-B676-91A9D0275864}" name="LINK ORIGINAL"/>
    <tableColumn id="16" xr3:uid="{C1D91C68-2EBD-4EB0-AE3A-FC76E6617EB9}" name="Library Ref"/>
    <tableColumn id="17" xr3:uid="{3417DC7E-6AAC-4097-909A-0A9096575633}" name="Footprint Ref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F63D36A-40D6-44F6-A226-536EF032484D}" name="Components456789101112131415161718192021222324252627282930313233343536" displayName="Components456789101112131415161718192021222324252627282930313233343536" ref="A1:T3" totalsRowShown="0">
  <autoFilter ref="A1:T3" xr:uid="{9F63D36A-40D6-44F6-A226-536EF032484D}"/>
  <tableColumns count="20">
    <tableColumn id="1" xr3:uid="{698A73D2-6CB0-4E18-BD97-150771BF8FF0}" name="DatabaseID" dataDxfId="0">
      <calculatedColumnFormula>A1+1</calculatedColumnFormula>
    </tableColumn>
    <tableColumn id="2" xr3:uid="{5DD8FB2C-2124-4267-9CF5-C221146EE2DB}" name="Manufacturer"/>
    <tableColumn id="3" xr3:uid="{0D9DE163-9C88-4F9D-95D3-0A67FEF278C9}" name="Part Number"/>
    <tableColumn id="4" xr3:uid="{F163D08C-F432-4DE6-9CAE-25E0E813BC30}" name="Description"/>
    <tableColumn id="5" xr3:uid="{92694957-FB2F-40C3-9DED-09E11C148C51}" name="Product Category"/>
    <tableColumn id="6" xr3:uid="{5D6A56E3-1BC9-4146-A8D1-A706C26E7CC3}" name="Value"/>
    <tableColumn id="7" xr3:uid="{0ABFF722-E747-4CBA-BBBB-ECA397BAE2DD}" name="Alt-Value"/>
    <tableColumn id="8" xr3:uid="{7F3FEA24-8834-4E07-B71D-8EA7B950B9A7}" name="Tolerance"/>
    <tableColumn id="9" xr3:uid="{94DA47F5-1FE6-4202-97E2-00EDCE2121A9}" name="DC Rating"/>
    <tableColumn id="10" xr3:uid="{C3C835C4-2AC1-49FF-8863-C3DC911C6046}" name="Power Rating"/>
    <tableColumn id="11" xr3:uid="{CC875AFA-3802-4D2A-8641-CA04EFF16502}" name="Package"/>
    <tableColumn id="12" xr3:uid="{1891A37F-72E1-424D-A1B9-25BF55C0B997}" name="Length"/>
    <tableColumn id="13" xr3:uid="{769F3988-3761-44E1-AB69-3FE46F6CB72E}" name="Width"/>
    <tableColumn id="14" xr3:uid="{9B851292-DF2B-4A4D-9922-828A845220A0}" name="Hight"/>
    <tableColumn id="15" xr3:uid="{C1B1FD11-54E6-47E9-9532-122BE08D2F92}" name="Dimension [mm]"/>
    <tableColumn id="21" xr3:uid="{E59B68A4-82CB-43D7-AD54-DD7F2C791872}" name="LIBRARTY MADE BY"/>
    <tableColumn id="20" xr3:uid="{667283B1-6631-45B2-9F6C-07B74323FAAC}" name="LINK VIET NAM"/>
    <tableColumn id="19" xr3:uid="{AFC953C7-8B65-4D16-8AE8-9519E1629E90}" name="LINK ORIGINAL"/>
    <tableColumn id="16" xr3:uid="{FB14E4C8-9B36-4E67-A8DA-2768D5CEB169}" name="Library Ref"/>
    <tableColumn id="17" xr3:uid="{6B9B74A9-A3A8-4D7F-8009-979A4B32EC2E}" name="Footprint R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lcsc.com/products/Audio-Amplifiers_518.html" TargetMode="External"/><Relationship Id="rId2" Type="http://schemas.openxmlformats.org/officeDocument/2006/relationships/hyperlink" Target="https://www.digikey.com/en/products/filter/linear/amplifiers/instrumentation-op-amps-buffer-amps/687" TargetMode="External"/><Relationship Id="rId1" Type="http://schemas.openxmlformats.org/officeDocument/2006/relationships/hyperlink" Target="https://shopee.vn/-Combo-5-chi%E1%BA%BFc-RC4580IDR-R4580I-IC-Khu%E1%BA%BFch-%C4%91%E1%BA%A1i-%C3%A2m-thanh-k%C3%A9p-SOP-8-i.10327067.23769061963" TargetMode="External"/><Relationship Id="rId5" Type="http://schemas.openxmlformats.org/officeDocument/2006/relationships/table" Target="../tables/table1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lcsc.com/products/Multilayer-Ceramic-Capacitors-MLCC-SMD-SMT_313.html" TargetMode="External"/><Relationship Id="rId13" Type="http://schemas.openxmlformats.org/officeDocument/2006/relationships/hyperlink" Target="https://lcsc.com/products/Aluminum-Electrolytic-Capacitors-Leaded_315.html" TargetMode="External"/><Relationship Id="rId3" Type="http://schemas.openxmlformats.org/officeDocument/2006/relationships/hyperlink" Target="https://lcsc.com/products/Aluminum-Electrolytic-Capacitors-Leaded_315.html" TargetMode="External"/><Relationship Id="rId7" Type="http://schemas.openxmlformats.org/officeDocument/2006/relationships/hyperlink" Target="https://lcsc.com/products/Multilayer-Ceramic-Capacitors-MLCC-SMD-SMT_313.html" TargetMode="External"/><Relationship Id="rId12" Type="http://schemas.openxmlformats.org/officeDocument/2006/relationships/hyperlink" Target="https://lcsc.com/products/Aluminum-Electrolytic-Capacitors-Leaded_315.html" TargetMode="External"/><Relationship Id="rId2" Type="http://schemas.openxmlformats.org/officeDocument/2006/relationships/hyperlink" Target="https://lcsc.com/products/Multilayer-Ceramic-Capacitors-MLCC-SMD-SMT_313.html" TargetMode="External"/><Relationship Id="rId16" Type="http://schemas.openxmlformats.org/officeDocument/2006/relationships/table" Target="../tables/table4.xml"/><Relationship Id="rId1" Type="http://schemas.openxmlformats.org/officeDocument/2006/relationships/hyperlink" Target="https://lcsc.com/products/Multilayer-Ceramic-Capacitors-MLCC-SMD-SMT_313.html" TargetMode="External"/><Relationship Id="rId6" Type="http://schemas.openxmlformats.org/officeDocument/2006/relationships/hyperlink" Target="https://lcsc.com/products/Aluminum-Electrolytic-Capacitors-Leaded_315.html" TargetMode="External"/><Relationship Id="rId11" Type="http://schemas.openxmlformats.org/officeDocument/2006/relationships/hyperlink" Target="https://lcsc.com/products/Aluminum-Electrolytic-Capacitors-Leaded_315.html" TargetMode="External"/><Relationship Id="rId5" Type="http://schemas.openxmlformats.org/officeDocument/2006/relationships/hyperlink" Target="https://lcsc.com/products/Aluminum-Electrolytic-Capacitors-Leaded_315.html" TargetMode="External"/><Relationship Id="rId15" Type="http://schemas.openxmlformats.org/officeDocument/2006/relationships/printerSettings" Target="../printerSettings/printerSettings2.bin"/><Relationship Id="rId10" Type="http://schemas.openxmlformats.org/officeDocument/2006/relationships/hyperlink" Target="https://lcsc.com/products/Multilayer-Ceramic-Capacitors-MLCC-SMD-SMT_313.html" TargetMode="External"/><Relationship Id="rId4" Type="http://schemas.openxmlformats.org/officeDocument/2006/relationships/hyperlink" Target="https://lcsc.com/products/Aluminum-Electrolytic-Capacitors-Leaded_315.html" TargetMode="External"/><Relationship Id="rId9" Type="http://schemas.openxmlformats.org/officeDocument/2006/relationships/hyperlink" Target="https://lcsc.com/products/Multilayer-Ceramic-Capacitors-MLCC-SMD-SMT_313.html" TargetMode="External"/><Relationship Id="rId14" Type="http://schemas.openxmlformats.org/officeDocument/2006/relationships/hyperlink" Target="https://lcsc.com/products/Multilayer-Ceramic-Capacitors-MLCC-SMD-SMT_313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hyperlink" Target="https://lcsc.com/products/Schottky-Diodes_373.html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digikey.com/en/products/filter/fixed-inductors/71" TargetMode="External"/><Relationship Id="rId3" Type="http://schemas.openxmlformats.org/officeDocument/2006/relationships/hyperlink" Target="https://lcsc.com/products/Inductors-SMD_337.html" TargetMode="External"/><Relationship Id="rId7" Type="http://schemas.openxmlformats.org/officeDocument/2006/relationships/hyperlink" Target="https://www.digikey.com/en/products/filter/fixed-inductors/1-6-a/71?s=N4IgjCBcoEwAwA4FVAYygMwIYBsDOApgDQgBuAdlAC4BOArsSAPZQDa4AdAGwAEAgiAC6JAA5UoIAKrkAllQDyGALIEseOjQIgAvrqA" TargetMode="External"/><Relationship Id="rId2" Type="http://schemas.openxmlformats.org/officeDocument/2006/relationships/hyperlink" Target="https://lcsc.com/products/Inductors-SMD_337.html" TargetMode="External"/><Relationship Id="rId1" Type="http://schemas.openxmlformats.org/officeDocument/2006/relationships/hyperlink" Target="https://lcsc.com/products/Inductors-SMD_337.html" TargetMode="External"/><Relationship Id="rId6" Type="http://schemas.openxmlformats.org/officeDocument/2006/relationships/hyperlink" Target="https://www.digikey.com/en/products/filter/fixed-inductors/71" TargetMode="External"/><Relationship Id="rId11" Type="http://schemas.openxmlformats.org/officeDocument/2006/relationships/table" Target="../tables/table16.xml"/><Relationship Id="rId5" Type="http://schemas.openxmlformats.org/officeDocument/2006/relationships/hyperlink" Target="https://lcsc.com/product-detail/Inductors-SMD_SHOU-HAN-CY75-22UH_C2929439.html?s_z=n_CY75-22UH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https://lcsc.com/product-detail/Inductors-SMD_SHOU-HAN-CY75-220UH_C2929444.html?s_z=n_inductor" TargetMode="External"/><Relationship Id="rId9" Type="http://schemas.openxmlformats.org/officeDocument/2006/relationships/hyperlink" Target="https://www.digikey.com/en/products/filter/fixed-inductors/4-3-a/71?s=N4IgjCBcoEwAwA4FVAYygMwIYBsDOApgDQgBuAdlAC4BOArsSAPZQDaIALAHQDMABAEEQAXRIAHKlBABVcgEsqAeQwBZAljx0aBEAF99QA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hyperlink" Target="https://lcsc.com/products/LED-Indication-Discrete_528.html" TargetMode="Externa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hyperlink" Target="https://lcsc.com/product-detail/Isolated-Power-Modules_YLPTEC-A1215S-2WR2_C22749842.html" TargetMode="External"/><Relationship Id="rId7" Type="http://schemas.openxmlformats.org/officeDocument/2006/relationships/table" Target="../tables/table28.xml"/><Relationship Id="rId2" Type="http://schemas.openxmlformats.org/officeDocument/2006/relationships/hyperlink" Target="https://lcsc.com/brand-detail/445.html" TargetMode="External"/><Relationship Id="rId1" Type="http://schemas.openxmlformats.org/officeDocument/2006/relationships/hyperlink" Target="https://www.bestbom.com/suppliers/mornsun.html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lcsc.com/products/DC-DC-Converters_484.html" TargetMode="External"/><Relationship Id="rId4" Type="http://schemas.openxmlformats.org/officeDocument/2006/relationships/hyperlink" Target="https://lcsc.com/product-detail/Isolated-Power-Modules_YLPTEC-URB2412YMD-40WR3_C22750044.html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hyperlink" Target="https://lcsc.com/products/Chip-Resistor-Surface-Mount_439.html" TargetMode="External"/><Relationship Id="rId13" Type="http://schemas.openxmlformats.org/officeDocument/2006/relationships/table" Target="../tables/table31.xml"/><Relationship Id="rId3" Type="http://schemas.openxmlformats.org/officeDocument/2006/relationships/hyperlink" Target="https://lcsc.com/products/Chip-Resistor-Surface-Mount_439.html" TargetMode="External"/><Relationship Id="rId7" Type="http://schemas.openxmlformats.org/officeDocument/2006/relationships/hyperlink" Target="https://www.digikey.com/en/products/filter/rotary-potentiometers-rheostats/84" TargetMode="External"/><Relationship Id="rId12" Type="http://schemas.openxmlformats.org/officeDocument/2006/relationships/printerSettings" Target="../printerSettings/printerSettings5.bin"/><Relationship Id="rId2" Type="http://schemas.openxmlformats.org/officeDocument/2006/relationships/hyperlink" Target="https://lcsc.com/products/Chip-Resistor-Surface-Mount_439.html" TargetMode="External"/><Relationship Id="rId1" Type="http://schemas.openxmlformats.org/officeDocument/2006/relationships/hyperlink" Target="https://www.digikey.com/en/products/filter/rotary-potentiometers-rheostats/84" TargetMode="External"/><Relationship Id="rId6" Type="http://schemas.openxmlformats.org/officeDocument/2006/relationships/hyperlink" Target="https://lcsc.com/products/Chip-Resistor-Surface-Mount_439.html" TargetMode="External"/><Relationship Id="rId11" Type="http://schemas.openxmlformats.org/officeDocument/2006/relationships/hyperlink" Target="https://emin.vn/bournsptv112-4425a-b503-gce-rotary-panel-control-bourns-ptv112-4425a-b503-1868306/pr.html" TargetMode="External"/><Relationship Id="rId5" Type="http://schemas.openxmlformats.org/officeDocument/2006/relationships/hyperlink" Target="https://lcsc.com/products/Chip-Resistor-Surface-Mount_439.html" TargetMode="External"/><Relationship Id="rId10" Type="http://schemas.openxmlformats.org/officeDocument/2006/relationships/hyperlink" Target="https://lcsc.com/products/Chip-Resistor-Surface-Mount_439.html" TargetMode="External"/><Relationship Id="rId4" Type="http://schemas.openxmlformats.org/officeDocument/2006/relationships/hyperlink" Target="https://lcsc.com/products/Chip-Resistor-Surface-Mount_439.html" TargetMode="External"/><Relationship Id="rId9" Type="http://schemas.openxmlformats.org/officeDocument/2006/relationships/hyperlink" Target="https://lcsc.com/products/Chip-Resistor-Surface-Mount_439.html" TargetMode="Externa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B2018-C6FD-4857-B3A8-3A3EDC9D98AD}">
  <sheetPr codeName="Sheet1"/>
  <dimension ref="A1:G35"/>
  <sheetViews>
    <sheetView workbookViewId="0">
      <selection activeCell="E5" sqref="E5:G5"/>
    </sheetView>
  </sheetViews>
  <sheetFormatPr defaultRowHeight="15" x14ac:dyDescent="0.25"/>
  <cols>
    <col min="1" max="1" width="33" customWidth="1"/>
    <col min="2" max="3" width="9.140625" customWidth="1"/>
    <col min="7" max="7" width="23.7109375" customWidth="1"/>
  </cols>
  <sheetData>
    <row r="1" spans="1:7" x14ac:dyDescent="0.25">
      <c r="A1" s="5" t="s">
        <v>40</v>
      </c>
      <c r="B1" s="6" t="s">
        <v>76</v>
      </c>
      <c r="C1" t="s">
        <v>77</v>
      </c>
      <c r="E1" s="6" t="s">
        <v>208</v>
      </c>
      <c r="F1" s="6"/>
      <c r="G1" s="6"/>
    </row>
    <row r="2" spans="1:7" x14ac:dyDescent="0.25">
      <c r="A2" s="5" t="s">
        <v>41</v>
      </c>
      <c r="E2" s="16" t="s">
        <v>209</v>
      </c>
      <c r="F2" s="16"/>
      <c r="G2" s="16"/>
    </row>
    <row r="3" spans="1:7" x14ac:dyDescent="0.25">
      <c r="A3" s="5" t="s">
        <v>42</v>
      </c>
      <c r="E3" s="16" t="s">
        <v>210</v>
      </c>
      <c r="F3" s="16"/>
      <c r="G3" s="16"/>
    </row>
    <row r="4" spans="1:7" x14ac:dyDescent="0.25">
      <c r="A4" s="5" t="s">
        <v>43</v>
      </c>
      <c r="E4" s="16" t="s">
        <v>211</v>
      </c>
      <c r="F4" s="16"/>
      <c r="G4" s="16"/>
    </row>
    <row r="5" spans="1:7" ht="16.5" customHeight="1" x14ac:dyDescent="0.3">
      <c r="A5" s="5" t="s">
        <v>44</v>
      </c>
      <c r="E5" s="17" t="s">
        <v>212</v>
      </c>
      <c r="F5" s="18"/>
      <c r="G5" s="18"/>
    </row>
    <row r="6" spans="1:7" x14ac:dyDescent="0.25">
      <c r="A6" s="5" t="s">
        <v>45</v>
      </c>
    </row>
    <row r="7" spans="1:7" x14ac:dyDescent="0.25">
      <c r="A7" s="5" t="s">
        <v>46</v>
      </c>
    </row>
    <row r="8" spans="1:7" x14ac:dyDescent="0.25">
      <c r="A8" s="5" t="s">
        <v>47</v>
      </c>
    </row>
    <row r="9" spans="1:7" x14ac:dyDescent="0.25">
      <c r="A9" s="5" t="s">
        <v>48</v>
      </c>
    </row>
    <row r="10" spans="1:7" x14ac:dyDescent="0.25">
      <c r="A10" s="5" t="s">
        <v>49</v>
      </c>
    </row>
    <row r="11" spans="1:7" x14ac:dyDescent="0.25">
      <c r="A11" s="5" t="s">
        <v>50</v>
      </c>
    </row>
    <row r="12" spans="1:7" x14ac:dyDescent="0.25">
      <c r="A12" s="5" t="s">
        <v>51</v>
      </c>
    </row>
    <row r="13" spans="1:7" x14ac:dyDescent="0.25">
      <c r="A13" s="5" t="s">
        <v>52</v>
      </c>
    </row>
    <row r="14" spans="1:7" x14ac:dyDescent="0.25">
      <c r="A14" s="5" t="s">
        <v>53</v>
      </c>
    </row>
    <row r="15" spans="1:7" x14ac:dyDescent="0.25">
      <c r="A15" s="5" t="s">
        <v>54</v>
      </c>
    </row>
    <row r="16" spans="1:7" x14ac:dyDescent="0.25">
      <c r="A16" s="5" t="s">
        <v>55</v>
      </c>
    </row>
    <row r="17" spans="1:1" x14ac:dyDescent="0.25">
      <c r="A17" s="5" t="s">
        <v>56</v>
      </c>
    </row>
    <row r="18" spans="1:1" x14ac:dyDescent="0.25">
      <c r="A18" s="5" t="s">
        <v>57</v>
      </c>
    </row>
    <row r="19" spans="1:1" x14ac:dyDescent="0.25">
      <c r="A19" s="5" t="s">
        <v>58</v>
      </c>
    </row>
    <row r="20" spans="1:1" x14ac:dyDescent="0.25">
      <c r="A20" s="5" t="s">
        <v>59</v>
      </c>
    </row>
    <row r="21" spans="1:1" x14ac:dyDescent="0.25">
      <c r="A21" s="5" t="s">
        <v>60</v>
      </c>
    </row>
    <row r="22" spans="1:1" x14ac:dyDescent="0.25">
      <c r="A22" s="5" t="s">
        <v>61</v>
      </c>
    </row>
    <row r="23" spans="1:1" x14ac:dyDescent="0.25">
      <c r="A23" s="5" t="s">
        <v>62</v>
      </c>
    </row>
    <row r="24" spans="1:1" x14ac:dyDescent="0.25">
      <c r="A24" s="5" t="s">
        <v>63</v>
      </c>
    </row>
    <row r="25" spans="1:1" x14ac:dyDescent="0.25">
      <c r="A25" s="5" t="s">
        <v>64</v>
      </c>
    </row>
    <row r="26" spans="1:1" x14ac:dyDescent="0.25">
      <c r="A26" s="5" t="s">
        <v>65</v>
      </c>
    </row>
    <row r="27" spans="1:1" x14ac:dyDescent="0.25">
      <c r="A27" s="5" t="s">
        <v>66</v>
      </c>
    </row>
    <row r="28" spans="1:1" x14ac:dyDescent="0.25">
      <c r="A28" s="5" t="s">
        <v>67</v>
      </c>
    </row>
    <row r="29" spans="1:1" x14ac:dyDescent="0.25">
      <c r="A29" s="5" t="s">
        <v>68</v>
      </c>
    </row>
    <row r="30" spans="1:1" x14ac:dyDescent="0.25">
      <c r="A30" s="5" t="s">
        <v>69</v>
      </c>
    </row>
    <row r="31" spans="1:1" x14ac:dyDescent="0.25">
      <c r="A31" s="5" t="s">
        <v>70</v>
      </c>
    </row>
    <row r="32" spans="1:1" x14ac:dyDescent="0.25">
      <c r="A32" s="5" t="s">
        <v>71</v>
      </c>
    </row>
    <row r="33" spans="1:1" x14ac:dyDescent="0.25">
      <c r="A33" s="5" t="s">
        <v>72</v>
      </c>
    </row>
    <row r="34" spans="1:1" x14ac:dyDescent="0.25">
      <c r="A34" s="5" t="s">
        <v>73</v>
      </c>
    </row>
    <row r="35" spans="1:1" x14ac:dyDescent="0.25">
      <c r="A35" s="5" t="s">
        <v>74</v>
      </c>
    </row>
  </sheetData>
  <sheetProtection selectLockedCells="1"/>
  <mergeCells count="4">
    <mergeCell ref="E2:G2"/>
    <mergeCell ref="E3:G3"/>
    <mergeCell ref="E4:G4"/>
    <mergeCell ref="E5:G5"/>
  </mergeCells>
  <phoneticPr fontId="2" type="noConversion"/>
  <hyperlinks>
    <hyperlink ref="A1" location="'001 Amplifiers'!A1" display="001 - Amplifiers" xr:uid="{2A9C52D7-4220-45FD-8EEB-8FC762367D1D}"/>
    <hyperlink ref="A2" location="'002 Audio'!A1" display="002 - Audio" xr:uid="{F88B9740-FB8D-407A-96A2-B387FFCB7EE1}"/>
    <hyperlink ref="A3" location="'003 Battery'!A1" display="003 - Battery" xr:uid="{CD10E46D-EF23-4E29-947E-82FA844D9DDE}"/>
    <hyperlink ref="A4" location="'004 Capacitors'!A1" display="004 - Capacitors" xr:uid="{1F59C0A0-91FB-43F2-B89A-932F3243C397}"/>
    <hyperlink ref="A5" location="'005 Clock'!A1" display="005 - Clock" xr:uid="{8AFC04FA-E174-46FC-A2F5-87AF74C5413E}"/>
    <hyperlink ref="A6" location="'006 Connectors'!A1" display="006 - Connectors" xr:uid="{EAC69D09-4109-4EBE-9E3C-178000BDD539}"/>
    <hyperlink ref="A7" location="'007 Controller'!A1" display="007 - Controller" xr:uid="{0671490D-9FC2-4881-9E4D-7A0866FC604E}"/>
    <hyperlink ref="A8" location="'008 Current - regulation'!A1" display="008 - Current – regulation" xr:uid="{38F49D70-915A-4E5B-BC2D-F9DE640B0E0C}"/>
    <hyperlink ref="A9" location="'009 Diode'!A1" display="009 – Diode" xr:uid="{4D1B5721-8095-4506-B27B-B914D703910B}"/>
    <hyperlink ref="A10" location="'010 Display Modules'!A1" display="010 – Display Modules" xr:uid="{AB80EF9F-27E5-4B78-A4B3-0FD0BA373BE4}"/>
    <hyperlink ref="A11" location="'011 Embedded'!A1" display="011 – Embedded" xr:uid="{C0C30744-3BAD-4788-BFF9-7BED6210E921}"/>
    <hyperlink ref="A12" location="'012 Encoders'!A1" display="012 – Encoders" xr:uid="{04D3843D-39F5-4FB3-8075-54AF6DF90DEF}"/>
    <hyperlink ref="A13" location="'013 Filters'!A1" display="013 – Filters" xr:uid="{69B892F8-0DAD-42C6-A6F0-6DB68390E9EB}"/>
    <hyperlink ref="A14" location="'014 Fuses'!A1" display="014 – Fuses" xr:uid="{78F890E2-B7F8-41D8-B3F1-20A75CD4327C}"/>
    <hyperlink ref="A15" location="'015 Hardware '!A1" display="015 – Hardware" xr:uid="{E8109A38-291C-40F4-9F8B-1EFC2CA94693}"/>
    <hyperlink ref="A16" location="'016 Inductors'!A1" display="016 – Inductors" xr:uid="{9D4A3B68-5843-4737-98BD-E29F240920B3}"/>
    <hyperlink ref="A17" location="'017 Interface'!A1" display="017 – Interface" xr:uid="{17C066C6-E83A-4342-A69A-48BD79E18336}"/>
    <hyperlink ref="A18" location="'018 Isolators'!A1" display="018 – Isolators" xr:uid="{0E5A04A0-A7AF-481E-9100-9A2C0F616E19}"/>
    <hyperlink ref="A19" location="'019 LED '!A1" display="019 – LED" xr:uid="{73F149CC-7D26-424E-899A-8274F33AA4E8}"/>
    <hyperlink ref="A20" location="'020 Logic '!A1" display="020 – Logic" xr:uid="{141A9ED6-DFA4-43AD-A467-DB369917DAD7}"/>
    <hyperlink ref="A21" location="'021 MOSFET'!A1" display="021 – MOSFET" xr:uid="{6A6DCDEF-5051-4537-9289-5A935DEF2BF8}"/>
    <hyperlink ref="A22" location="'022 Memory'!A1" display="022 – Memory" xr:uid="{1D67039C-1FB8-4339-8FF3-16437BFF3CF8}"/>
    <hyperlink ref="A23" location="'023 Motor Drivers Controller'!A1" display="023 – Motor Drivers Controller" xr:uid="{E2D72A3F-7167-49BD-B12C-005F98327853}"/>
    <hyperlink ref="A24" location="'024 Optics'!A1" display="024 – Optics" xr:uid="{3FD5923F-0BE0-416C-9DCE-7E4AB6608FE9}"/>
    <hyperlink ref="A25" location="'025 Optoelectronics'!A1" display="025 – Optoelectronics" xr:uid="{7FE44500-CB18-481B-96A7-C99A77121276}"/>
    <hyperlink ref="A27" location="'027 Osillators'!A1" display="027 – Osillators" xr:uid="{DFB4B318-3E35-4115-8D50-249DF1FCEC74}"/>
    <hyperlink ref="A26" location="'026 Optoisolators'!A1" display="026 – Optoisolators" xr:uid="{3A2BBD3D-F127-4398-93DE-301287BA0460}"/>
    <hyperlink ref="A28" location="'028 Power'!A1" display="028 – Power" xr:uid="{DA020D03-5AA4-4809-8619-1D74CBADD483}"/>
    <hyperlink ref="A29" location="'029 RF'!A1" display="029 – RF" xr:uid="{152BA22C-9691-4921-8E96-6AD284A12FCC}"/>
    <hyperlink ref="A30" location="'030 Relays'!A1" display="030 – Relays" xr:uid="{8ADFBA5D-B13A-4F24-BA98-97A2D77F8E82}"/>
    <hyperlink ref="A31" location="'031 Resistors'!A1" display="031 – Resistors" xr:uid="{71B7652A-C862-4031-BF90-347EB9FC8242}"/>
    <hyperlink ref="A32" location="'032 Sensors'!A1" display="032 – Sensors" xr:uid="{904E2FC6-8C4B-47AB-B049-1D2AA44059B2}"/>
    <hyperlink ref="A33" location="'033 Switches'!A1" display="033 – Switches" xr:uid="{F1ACF926-5663-4EB9-B16C-32ECCBC1ECD6}"/>
    <hyperlink ref="A34" location="'034 Transistors'!A1" display="034 – Transistors" xr:uid="{B0A25369-769D-4809-A9D8-6508C72C3C2F}"/>
    <hyperlink ref="A35" location="'035 Voltage Regulators'!A1" display="035 – Voltage Regulators" xr:uid="{BF6CB90C-8F17-45C9-88B4-EE6FE987EA4F}"/>
  </hyperlinks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32686-2B7D-4F7F-BB71-90A1A2CB754D}">
  <sheetPr codeName="Sheet2"/>
  <dimension ref="A1:T9"/>
  <sheetViews>
    <sheetView tabSelected="1" topLeftCell="E1" zoomScale="85" zoomScaleNormal="85" workbookViewId="0">
      <selection activeCell="S8" sqref="S8"/>
    </sheetView>
  </sheetViews>
  <sheetFormatPr defaultRowHeight="15" x14ac:dyDescent="0.25"/>
  <cols>
    <col min="1" max="1" width="13.140625" customWidth="1"/>
    <col min="2" max="2" width="18.28515625" customWidth="1"/>
    <col min="3" max="3" width="17.85546875" customWidth="1"/>
    <col min="4" max="4" width="55.28515625" bestFit="1" customWidth="1"/>
    <col min="5" max="5" width="29" customWidth="1"/>
    <col min="6" max="6" width="8.28515625" customWidth="1"/>
    <col min="7" max="7" width="11.5703125" customWidth="1"/>
    <col min="8" max="8" width="11.85546875" customWidth="1"/>
    <col min="9" max="9" width="11.5703125" customWidth="1"/>
    <col min="10" max="10" width="14.85546875" customWidth="1"/>
    <col min="11" max="11" width="12.85546875" bestFit="1" customWidth="1"/>
    <col min="15" max="16" width="18" customWidth="1"/>
    <col min="17" max="17" width="43.42578125" customWidth="1"/>
    <col min="18" max="18" width="43.7109375" customWidth="1"/>
    <col min="19" max="19" width="20.85546875" customWidth="1"/>
    <col min="20" max="20" width="29.140625" bestFit="1" customWidth="1"/>
  </cols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 t="s">
        <v>75</v>
      </c>
      <c r="B2" t="s">
        <v>17</v>
      </c>
      <c r="C2" t="s">
        <v>18</v>
      </c>
      <c r="D2" t="s">
        <v>19</v>
      </c>
      <c r="E2" s="3" t="s">
        <v>20</v>
      </c>
      <c r="K2" s="2" t="s">
        <v>21</v>
      </c>
      <c r="L2" t="s">
        <v>27</v>
      </c>
      <c r="M2" s="1" t="s">
        <v>22</v>
      </c>
      <c r="O2" t="s">
        <v>26</v>
      </c>
      <c r="P2" t="s">
        <v>29</v>
      </c>
      <c r="Q2" t="s">
        <v>28</v>
      </c>
      <c r="R2" t="s">
        <v>278</v>
      </c>
      <c r="S2" t="s">
        <v>18</v>
      </c>
      <c r="T2" t="s">
        <v>30</v>
      </c>
    </row>
    <row r="3" spans="1:20" x14ac:dyDescent="0.25">
      <c r="A3" s="1" t="s">
        <v>338</v>
      </c>
      <c r="B3" t="s">
        <v>340</v>
      </c>
      <c r="C3" t="s">
        <v>339</v>
      </c>
      <c r="D3" t="s">
        <v>341</v>
      </c>
      <c r="E3" t="s">
        <v>342</v>
      </c>
      <c r="I3" t="s">
        <v>345</v>
      </c>
      <c r="J3" t="s">
        <v>344</v>
      </c>
      <c r="K3" t="s">
        <v>343</v>
      </c>
      <c r="P3" t="s">
        <v>29</v>
      </c>
      <c r="Q3" t="s">
        <v>346</v>
      </c>
      <c r="R3" t="s">
        <v>347</v>
      </c>
      <c r="S3" t="s">
        <v>349</v>
      </c>
      <c r="T3" t="s">
        <v>348</v>
      </c>
    </row>
    <row r="8" spans="1:20" x14ac:dyDescent="0.25">
      <c r="A8" s="1"/>
      <c r="E8" s="3"/>
      <c r="K8" s="2"/>
      <c r="M8" s="1"/>
    </row>
    <row r="9" spans="1:20" x14ac:dyDescent="0.25">
      <c r="A9" s="1"/>
    </row>
  </sheetData>
  <phoneticPr fontId="2" type="noConversion"/>
  <hyperlinks>
    <hyperlink ref="Q2" r:id="rId1" xr:uid="{66E1B5C3-1036-4BBF-967C-678F5B4764A7}"/>
    <hyperlink ref="E2" r:id="rId2" display="https://www.digikey.com/en/products/filter/linear/amplifiers/instrumentation-op-amps-buffer-amps/687" xr:uid="{5E9F7DA3-E2CB-4953-900E-D38290761603}"/>
    <hyperlink ref="E3" r:id="rId3" tooltip="Amplifiers/Comparators/Audio Amplifiers" display="https://lcsc.com/products/Audio-Amplifiers_518.html" xr:uid="{1864A278-929C-4A05-9F8A-45B8C3807D21}"/>
  </hyperlinks>
  <pageMargins left="0.7" right="0.7" top="0.75" bottom="0.75" header="0.3" footer="0.3"/>
  <pageSetup orientation="portrait" r:id="rId4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B31DD-DE59-4069-8134-96ADA84A083A}">
  <sheetPr codeName="Sheet3"/>
  <dimension ref="A1:T3"/>
  <sheetViews>
    <sheetView workbookViewId="0">
      <selection activeCell="B38" sqref="B38"/>
    </sheetView>
  </sheetViews>
  <sheetFormatPr defaultRowHeight="15" x14ac:dyDescent="0.25"/>
  <cols>
    <col min="1" max="1" width="13.140625" customWidth="1"/>
    <col min="2" max="2" width="15.28515625" customWidth="1"/>
    <col min="4" max="4" width="13.28515625" customWidth="1"/>
    <col min="5" max="5" width="18.28515625" customWidth="1"/>
    <col min="7" max="7" width="11.5703125" customWidth="1"/>
    <col min="8" max="8" width="11.85546875" customWidth="1"/>
    <col min="9" max="9" width="11.5703125" customWidth="1"/>
    <col min="10" max="10" width="14.85546875" customWidth="1"/>
    <col min="11" max="11" width="10.28515625" customWidth="1"/>
    <col min="15" max="15" width="18" customWidth="1"/>
    <col min="16" max="16" width="20" customWidth="1"/>
    <col min="17" max="17" width="16.42578125" customWidth="1"/>
    <col min="18" max="18" width="16.28515625" customWidth="1"/>
    <col min="19" max="19" width="12.5703125" customWidth="1"/>
    <col min="20" max="20" width="14.85546875" customWidth="1"/>
    <col min="21" max="29" width="11" customWidth="1"/>
    <col min="30" max="119" width="12" customWidth="1"/>
    <col min="120" max="1019" width="13" customWidth="1"/>
    <col min="1020" max="10019" width="14" customWidth="1"/>
    <col min="10020" max="16384" width="15" customWidth="1"/>
  </cols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14C1C-7CB9-43AC-8EA9-F26B75B1395C}">
  <sheetPr codeName="Sheet4"/>
  <dimension ref="A1:T3"/>
  <sheetViews>
    <sheetView workbookViewId="0"/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0562D-C0CB-456F-83E1-F4AFC032F550}">
  <sheetPr codeName="Sheet5"/>
  <dimension ref="A1:T15"/>
  <sheetViews>
    <sheetView zoomScaleNormal="100" workbookViewId="0">
      <selection activeCell="D28" sqref="D28"/>
    </sheetView>
  </sheetViews>
  <sheetFormatPr defaultRowHeight="15" x14ac:dyDescent="0.25"/>
  <cols>
    <col min="1" max="1" width="12.7109375" customWidth="1"/>
    <col min="2" max="2" width="25" customWidth="1"/>
    <col min="3" max="3" width="22.7109375" customWidth="1"/>
    <col min="4" max="4" width="45.42578125" customWidth="1"/>
    <col min="5" max="5" width="25" customWidth="1"/>
    <col min="7" max="7" width="11.85546875" customWidth="1"/>
    <col min="8" max="8" width="13.28515625" customWidth="1"/>
    <col min="9" max="9" width="11.7109375" customWidth="1"/>
    <col min="10" max="10" width="14.5703125" customWidth="1"/>
    <col min="11" max="11" width="11.42578125" customWidth="1"/>
    <col min="16" max="16" width="10.85546875" customWidth="1"/>
    <col min="17" max="17" width="13.28515625" customWidth="1"/>
    <col min="18" max="18" width="65.42578125" customWidth="1"/>
    <col min="19" max="19" width="13.7109375" customWidth="1"/>
    <col min="20" max="20" width="15.140625" customWidth="1"/>
  </cols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 t="s">
        <v>140</v>
      </c>
      <c r="B2" t="s">
        <v>105</v>
      </c>
      <c r="C2" t="s">
        <v>141</v>
      </c>
      <c r="D2" t="s">
        <v>142</v>
      </c>
      <c r="E2" t="s">
        <v>143</v>
      </c>
      <c r="F2" t="s">
        <v>144</v>
      </c>
      <c r="G2" t="str">
        <f>Components456[[#This Row],[Value]]</f>
        <v>47pF</v>
      </c>
      <c r="H2" t="s">
        <v>145</v>
      </c>
      <c r="I2" t="s">
        <v>146</v>
      </c>
      <c r="K2" s="2" t="s">
        <v>113</v>
      </c>
      <c r="M2" s="1"/>
      <c r="P2" t="s">
        <v>29</v>
      </c>
      <c r="R2" s="3" t="s">
        <v>279</v>
      </c>
      <c r="S2" t="s">
        <v>207</v>
      </c>
      <c r="T2" t="s">
        <v>213</v>
      </c>
    </row>
    <row r="3" spans="1:20" x14ac:dyDescent="0.25">
      <c r="A3" s="1" t="s">
        <v>147</v>
      </c>
      <c r="B3" t="s">
        <v>105</v>
      </c>
      <c r="C3" t="s">
        <v>148</v>
      </c>
      <c r="D3" t="s">
        <v>149</v>
      </c>
      <c r="E3" t="s">
        <v>143</v>
      </c>
      <c r="F3" t="s">
        <v>150</v>
      </c>
      <c r="G3" t="str">
        <f>Components456[[#This Row],[Value]]</f>
        <v>20pF</v>
      </c>
      <c r="H3" t="s">
        <v>145</v>
      </c>
      <c r="I3" t="s">
        <v>146</v>
      </c>
      <c r="K3" s="2" t="s">
        <v>113</v>
      </c>
      <c r="P3" t="s">
        <v>29</v>
      </c>
      <c r="R3" s="3" t="s">
        <v>280</v>
      </c>
      <c r="S3" t="s">
        <v>207</v>
      </c>
      <c r="T3" t="s">
        <v>213</v>
      </c>
    </row>
    <row r="4" spans="1:20" x14ac:dyDescent="0.25">
      <c r="A4" s="1" t="s">
        <v>151</v>
      </c>
      <c r="B4" t="s">
        <v>153</v>
      </c>
      <c r="C4" t="s">
        <v>152</v>
      </c>
      <c r="D4" t="s">
        <v>154</v>
      </c>
      <c r="E4" t="s">
        <v>155</v>
      </c>
      <c r="F4" t="s">
        <v>156</v>
      </c>
      <c r="G4" s="11" t="str">
        <f>Components456[[#This Row],[Value]]</f>
        <v>47uF</v>
      </c>
      <c r="H4" t="s">
        <v>99</v>
      </c>
      <c r="I4" t="s">
        <v>157</v>
      </c>
      <c r="K4" s="1" t="s">
        <v>158</v>
      </c>
      <c r="P4" t="s">
        <v>29</v>
      </c>
      <c r="R4" s="3" t="s">
        <v>281</v>
      </c>
      <c r="S4" t="s">
        <v>215</v>
      </c>
      <c r="T4" t="s">
        <v>216</v>
      </c>
    </row>
    <row r="5" spans="1:20" x14ac:dyDescent="0.25">
      <c r="A5" s="1" t="s">
        <v>160</v>
      </c>
      <c r="B5" t="s">
        <v>153</v>
      </c>
      <c r="C5" t="s">
        <v>159</v>
      </c>
      <c r="D5" t="s">
        <v>161</v>
      </c>
      <c r="E5" t="s">
        <v>155</v>
      </c>
      <c r="F5" t="s">
        <v>156</v>
      </c>
      <c r="G5" s="11" t="str">
        <f>Components456[[#This Row],[Value]]</f>
        <v>47uF</v>
      </c>
      <c r="H5" t="s">
        <v>99</v>
      </c>
      <c r="I5" t="s">
        <v>157</v>
      </c>
      <c r="K5" t="s">
        <v>158</v>
      </c>
      <c r="P5" t="s">
        <v>29</v>
      </c>
      <c r="R5" s="3" t="s">
        <v>282</v>
      </c>
      <c r="S5" t="s">
        <v>215</v>
      </c>
      <c r="T5" t="s">
        <v>216</v>
      </c>
    </row>
    <row r="6" spans="1:20" x14ac:dyDescent="0.25">
      <c r="A6" s="1" t="s">
        <v>168</v>
      </c>
      <c r="B6" t="s">
        <v>153</v>
      </c>
      <c r="C6" t="s">
        <v>162</v>
      </c>
      <c r="D6" t="s">
        <v>163</v>
      </c>
      <c r="E6" t="s">
        <v>155</v>
      </c>
      <c r="F6" t="s">
        <v>164</v>
      </c>
      <c r="G6" s="11" t="str">
        <f>Components456[[#This Row],[Value]]</f>
        <v>100uF</v>
      </c>
      <c r="H6" t="s">
        <v>99</v>
      </c>
      <c r="I6" t="s">
        <v>157</v>
      </c>
      <c r="K6" t="s">
        <v>165</v>
      </c>
      <c r="P6" t="s">
        <v>29</v>
      </c>
      <c r="R6" s="3" t="s">
        <v>283</v>
      </c>
      <c r="S6" t="s">
        <v>215</v>
      </c>
      <c r="T6" t="s">
        <v>217</v>
      </c>
    </row>
    <row r="7" spans="1:20" x14ac:dyDescent="0.25">
      <c r="A7" s="1" t="s">
        <v>167</v>
      </c>
      <c r="B7" t="s">
        <v>169</v>
      </c>
      <c r="C7" t="s">
        <v>166</v>
      </c>
      <c r="D7" t="s">
        <v>170</v>
      </c>
      <c r="E7" t="s">
        <v>155</v>
      </c>
      <c r="F7" t="s">
        <v>171</v>
      </c>
      <c r="G7" s="11" t="str">
        <f>Components456[[#This Row],[Value]]</f>
        <v>1uF</v>
      </c>
      <c r="H7" s="11" t="s">
        <v>99</v>
      </c>
      <c r="I7" t="s">
        <v>146</v>
      </c>
      <c r="K7" t="s">
        <v>158</v>
      </c>
      <c r="P7" t="s">
        <v>29</v>
      </c>
      <c r="R7" s="3" t="s">
        <v>284</v>
      </c>
      <c r="S7" t="s">
        <v>215</v>
      </c>
      <c r="T7" t="s">
        <v>216</v>
      </c>
    </row>
    <row r="8" spans="1:20" x14ac:dyDescent="0.25">
      <c r="A8" s="1" t="s">
        <v>172</v>
      </c>
      <c r="B8" t="s">
        <v>183</v>
      </c>
      <c r="C8" t="s">
        <v>182</v>
      </c>
      <c r="D8" t="s">
        <v>184</v>
      </c>
      <c r="E8" t="s">
        <v>143</v>
      </c>
      <c r="F8" t="s">
        <v>185</v>
      </c>
      <c r="G8" s="11" t="str">
        <f>Components456[[#This Row],[Value]]</f>
        <v>2.2uF</v>
      </c>
      <c r="H8" s="11" t="s">
        <v>186</v>
      </c>
      <c r="I8" t="s">
        <v>146</v>
      </c>
      <c r="K8" s="2" t="s">
        <v>113</v>
      </c>
      <c r="P8" t="s">
        <v>29</v>
      </c>
      <c r="R8" s="3" t="s">
        <v>285</v>
      </c>
      <c r="S8" t="s">
        <v>207</v>
      </c>
      <c r="T8" t="s">
        <v>213</v>
      </c>
    </row>
    <row r="9" spans="1:20" x14ac:dyDescent="0.25">
      <c r="A9" s="1" t="s">
        <v>188</v>
      </c>
      <c r="B9" t="s">
        <v>183</v>
      </c>
      <c r="C9" t="s">
        <v>187</v>
      </c>
      <c r="D9" t="s">
        <v>189</v>
      </c>
      <c r="E9" t="s">
        <v>143</v>
      </c>
      <c r="F9" s="1" t="s">
        <v>171</v>
      </c>
      <c r="G9" s="11" t="str">
        <f>Components456[[#This Row],[Value]]</f>
        <v>1uF</v>
      </c>
      <c r="H9" s="11" t="s">
        <v>186</v>
      </c>
      <c r="I9" t="s">
        <v>157</v>
      </c>
      <c r="K9" s="2" t="s">
        <v>113</v>
      </c>
      <c r="P9" t="s">
        <v>29</v>
      </c>
      <c r="R9" s="3" t="s">
        <v>286</v>
      </c>
      <c r="S9" t="s">
        <v>207</v>
      </c>
      <c r="T9" t="s">
        <v>213</v>
      </c>
    </row>
    <row r="10" spans="1:20" x14ac:dyDescent="0.25">
      <c r="A10" s="1" t="s">
        <v>190</v>
      </c>
      <c r="B10" t="s">
        <v>183</v>
      </c>
      <c r="C10" t="s">
        <v>191</v>
      </c>
      <c r="D10" t="s">
        <v>192</v>
      </c>
      <c r="E10" t="s">
        <v>143</v>
      </c>
      <c r="F10" t="s">
        <v>193</v>
      </c>
      <c r="G10" s="11" t="str">
        <f>Components456[[#This Row],[Value]]</f>
        <v>22uF</v>
      </c>
      <c r="H10" s="11" t="s">
        <v>99</v>
      </c>
      <c r="I10" t="s">
        <v>157</v>
      </c>
      <c r="K10" s="2" t="s">
        <v>139</v>
      </c>
      <c r="P10" t="s">
        <v>29</v>
      </c>
      <c r="R10" s="3" t="s">
        <v>287</v>
      </c>
      <c r="S10" t="s">
        <v>207</v>
      </c>
      <c r="T10" t="s">
        <v>214</v>
      </c>
    </row>
    <row r="11" spans="1:20" x14ac:dyDescent="0.25">
      <c r="A11" s="1" t="s">
        <v>194</v>
      </c>
      <c r="B11" t="s">
        <v>183</v>
      </c>
      <c r="C11" t="s">
        <v>195</v>
      </c>
      <c r="D11" t="s">
        <v>196</v>
      </c>
      <c r="E11" t="s">
        <v>143</v>
      </c>
      <c r="F11" t="s">
        <v>197</v>
      </c>
      <c r="G11" s="11" t="str">
        <f>Components456[[#This Row],[Value]]</f>
        <v>10uF</v>
      </c>
      <c r="H11" s="11" t="s">
        <v>186</v>
      </c>
      <c r="I11" t="s">
        <v>157</v>
      </c>
      <c r="K11" s="2" t="s">
        <v>139</v>
      </c>
      <c r="P11" t="s">
        <v>29</v>
      </c>
      <c r="R11" s="3" t="s">
        <v>288</v>
      </c>
      <c r="S11" t="s">
        <v>207</v>
      </c>
      <c r="T11" t="s">
        <v>214</v>
      </c>
    </row>
    <row r="12" spans="1:20" x14ac:dyDescent="0.25">
      <c r="A12" s="1" t="s">
        <v>198</v>
      </c>
      <c r="B12" t="s">
        <v>153</v>
      </c>
      <c r="C12" t="s">
        <v>200</v>
      </c>
      <c r="D12" t="s">
        <v>201</v>
      </c>
      <c r="E12" t="s">
        <v>155</v>
      </c>
      <c r="F12" t="s">
        <v>164</v>
      </c>
      <c r="G12" s="11" t="str">
        <f>Components456[[#This Row],[Value]]</f>
        <v>100uF</v>
      </c>
      <c r="H12" s="11" t="s">
        <v>99</v>
      </c>
      <c r="I12" t="s">
        <v>146</v>
      </c>
      <c r="K12" t="s">
        <v>202</v>
      </c>
      <c r="P12" t="s">
        <v>29</v>
      </c>
      <c r="R12" s="3" t="s">
        <v>289</v>
      </c>
      <c r="S12" t="s">
        <v>215</v>
      </c>
      <c r="T12" t="s">
        <v>218</v>
      </c>
    </row>
    <row r="13" spans="1:20" x14ac:dyDescent="0.25">
      <c r="A13" s="1" t="s">
        <v>199</v>
      </c>
      <c r="B13" t="s">
        <v>153</v>
      </c>
      <c r="C13" t="s">
        <v>203</v>
      </c>
      <c r="D13" t="s">
        <v>204</v>
      </c>
      <c r="E13" t="s">
        <v>155</v>
      </c>
      <c r="F13" s="10" t="s">
        <v>205</v>
      </c>
      <c r="G13" s="11" t="str">
        <f>Components456[[#This Row],[Value]]</f>
        <v>470uF</v>
      </c>
      <c r="H13" s="1" t="s">
        <v>99</v>
      </c>
      <c r="I13" t="s">
        <v>146</v>
      </c>
      <c r="K13" t="s">
        <v>206</v>
      </c>
      <c r="P13" t="s">
        <v>29</v>
      </c>
      <c r="R13" s="3" t="s">
        <v>290</v>
      </c>
      <c r="S13" t="s">
        <v>215</v>
      </c>
      <c r="T13" t="s">
        <v>219</v>
      </c>
    </row>
    <row r="14" spans="1:20" x14ac:dyDescent="0.25">
      <c r="A14" s="1" t="s">
        <v>231</v>
      </c>
      <c r="B14" t="s">
        <v>169</v>
      </c>
      <c r="C14" t="s">
        <v>230</v>
      </c>
      <c r="D14" t="s">
        <v>232</v>
      </c>
      <c r="E14" t="s">
        <v>155</v>
      </c>
      <c r="F14" t="s">
        <v>233</v>
      </c>
      <c r="G14" s="11" t="str">
        <f>Components456[[#This Row],[Value]]</f>
        <v>220uF</v>
      </c>
      <c r="H14" s="11" t="s">
        <v>99</v>
      </c>
      <c r="I14" t="s">
        <v>234</v>
      </c>
      <c r="K14" t="s">
        <v>235</v>
      </c>
      <c r="P14" t="s">
        <v>29</v>
      </c>
      <c r="R14" s="3" t="s">
        <v>291</v>
      </c>
      <c r="S14" t="s">
        <v>215</v>
      </c>
      <c r="T14" t="s">
        <v>265</v>
      </c>
    </row>
    <row r="15" spans="1:20" x14ac:dyDescent="0.25">
      <c r="A15" s="1" t="s">
        <v>236</v>
      </c>
      <c r="B15" t="s">
        <v>105</v>
      </c>
      <c r="C15" t="s">
        <v>241</v>
      </c>
      <c r="D15" t="s">
        <v>242</v>
      </c>
      <c r="E15" t="s">
        <v>143</v>
      </c>
      <c r="F15" t="s">
        <v>237</v>
      </c>
      <c r="G15" s="11" t="str">
        <f>Components456[[#This Row],[Value]]</f>
        <v>0.01uF</v>
      </c>
      <c r="H15" s="11" t="s">
        <v>186</v>
      </c>
      <c r="I15" t="s">
        <v>146</v>
      </c>
      <c r="K15" s="2" t="s">
        <v>113</v>
      </c>
      <c r="P15" t="s">
        <v>29</v>
      </c>
      <c r="R15" s="3" t="s">
        <v>292</v>
      </c>
      <c r="S15" t="s">
        <v>207</v>
      </c>
      <c r="T15" t="s">
        <v>213</v>
      </c>
    </row>
  </sheetData>
  <phoneticPr fontId="2" type="noConversion"/>
  <hyperlinks>
    <hyperlink ref="E2" r:id="rId1" tooltip="Capacitors/Multilayer Ceramic Capacitors MLCC - SMD/SMT" display="https://lcsc.com/products/Multilayer-Ceramic-Capacitors-MLCC-SMD-SMT_313.html" xr:uid="{843F5A0D-9FD2-4387-835B-FA83558CDE6A}"/>
    <hyperlink ref="E3" r:id="rId2" tooltip="Capacitors/Multilayer Ceramic Capacitors MLCC - SMD/SMT" display="https://lcsc.com/products/Multilayer-Ceramic-Capacitors-MLCC-SMD-SMT_313.html" xr:uid="{9AF9E0C5-2C6E-4BFE-B196-322331E0A262}"/>
    <hyperlink ref="E4" r:id="rId3" tooltip="Capacitors/Aluminum Electrolytic Capacitors - Leaded" display="https://lcsc.com/products/Aluminum-Electrolytic-Capacitors-Leaded_315.html" xr:uid="{3E74A707-AEBB-451D-8008-3A66DC61777E}"/>
    <hyperlink ref="E5" r:id="rId4" tooltip="Capacitors/Aluminum Electrolytic Capacitors - Leaded" display="https://lcsc.com/products/Aluminum-Electrolytic-Capacitors-Leaded_315.html" xr:uid="{D8036DB5-F680-4B3E-8B8F-4C544F4522DC}"/>
    <hyperlink ref="E6" r:id="rId5" tooltip="Capacitors/Aluminum Electrolytic Capacitors - Leaded" display="https://lcsc.com/products/Aluminum-Electrolytic-Capacitors-Leaded_315.html" xr:uid="{2FCEA480-1E0E-467E-ADEE-57F88769D4FE}"/>
    <hyperlink ref="E7" r:id="rId6" tooltip="Capacitors/Aluminum Electrolytic Capacitors - Leaded" display="https://lcsc.com/products/Aluminum-Electrolytic-Capacitors-Leaded_315.html" xr:uid="{5B78EA12-AAE6-4193-AA26-ACA00F518F95}"/>
    <hyperlink ref="E8" r:id="rId7" tooltip="Capacitors/Multilayer Ceramic Capacitors MLCC - SMD/SMT" display="https://lcsc.com/products/Multilayer-Ceramic-Capacitors-MLCC-SMD-SMT_313.html" xr:uid="{9EE85EA3-BB33-4B3E-9B32-40D3CA64C984}"/>
    <hyperlink ref="E9" r:id="rId8" tooltip="Capacitors/Multilayer Ceramic Capacitors MLCC - SMD/SMT" display="https://lcsc.com/products/Multilayer-Ceramic-Capacitors-MLCC-SMD-SMT_313.html" xr:uid="{0B720B38-C5DD-49A9-AEA5-D2E9A9F10E89}"/>
    <hyperlink ref="E10" r:id="rId9" tooltip="Capacitors/Multilayer Ceramic Capacitors MLCC - SMD/SMT" display="https://lcsc.com/products/Multilayer-Ceramic-Capacitors-MLCC-SMD-SMT_313.html" xr:uid="{A081B14E-0186-4479-B1E3-44F70ED28950}"/>
    <hyperlink ref="E11" r:id="rId10" tooltip="Capacitors/Multilayer Ceramic Capacitors MLCC - SMD/SMT" display="https://lcsc.com/products/Multilayer-Ceramic-Capacitors-MLCC-SMD-SMT_313.html" xr:uid="{CC57AC2D-D0F7-4A0B-BDC8-D9BF727E2CD3}"/>
    <hyperlink ref="E12" r:id="rId11" tooltip="Capacitors/Aluminum Electrolytic Capacitors - Leaded" display="https://lcsc.com/products/Aluminum-Electrolytic-Capacitors-Leaded_315.html" xr:uid="{054A0834-0D07-47EA-BB0D-D69A30088312}"/>
    <hyperlink ref="E13" r:id="rId12" tooltip="Capacitors/Aluminum Electrolytic Capacitors - Leaded" display="https://lcsc.com/products/Aluminum-Electrolytic-Capacitors-Leaded_315.html" xr:uid="{CA08F504-2495-4778-AE79-85DF3AB9C29C}"/>
    <hyperlink ref="E14" r:id="rId13" tooltip="Capacitors/Aluminum Electrolytic Capacitors - Leaded" display="https://lcsc.com/products/Aluminum-Electrolytic-Capacitors-Leaded_315.html" xr:uid="{BF9F3CBA-2564-442D-A362-CD04328C8537}"/>
    <hyperlink ref="E15" r:id="rId14" tooltip="Capacitors/Multilayer Ceramic Capacitors MLCC - SMD/SMT" display="https://lcsc.com/products/Multilayer-Ceramic-Capacitors-MLCC-SMD-SMT_313.html" xr:uid="{9DB5E298-9E0C-4726-82BC-D2BC786EE88B}"/>
  </hyperlinks>
  <pageMargins left="0.7" right="0.7" top="0.75" bottom="0.75" header="0.3" footer="0.3"/>
  <pageSetup orientation="portrait" horizontalDpi="300" verticalDpi="300" r:id="rId15"/>
  <tableParts count="1">
    <tablePart r:id="rId1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F2F63-52CB-45DF-B94D-7D9A4C1A5C27}">
  <sheetPr codeName="Sheet6"/>
  <dimension ref="A1:T3"/>
  <sheetViews>
    <sheetView workbookViewId="0"/>
  </sheetViews>
  <sheetFormatPr defaultRowHeight="15" x14ac:dyDescent="0.25"/>
  <sheetData>
    <row r="1" spans="1:20" ht="15.75" customHeight="1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29FAA-9051-49FB-B58A-5451FA493D0C}">
  <sheetPr codeName="Sheet7"/>
  <dimension ref="A1:T3"/>
  <sheetViews>
    <sheetView workbookViewId="0">
      <selection activeCell="E16" sqref="E16"/>
    </sheetView>
  </sheetViews>
  <sheetFormatPr defaultRowHeight="15" x14ac:dyDescent="0.25"/>
  <cols>
    <col min="3" max="3" width="9.5703125" customWidth="1"/>
    <col min="4" max="4" width="20.42578125" customWidth="1"/>
    <col min="17" max="17" width="20" customWidth="1"/>
    <col min="18" max="18" width="22.7109375" customWidth="1"/>
    <col min="19" max="19" width="17.42578125" customWidth="1"/>
    <col min="20" max="20" width="15" customWidth="1"/>
  </cols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 t="s">
        <v>315</v>
      </c>
      <c r="C2" s="1" t="s">
        <v>316</v>
      </c>
      <c r="D2" s="1" t="s">
        <v>318</v>
      </c>
      <c r="E2" s="3"/>
      <c r="K2" s="2"/>
      <c r="M2" s="1"/>
      <c r="P2" t="s">
        <v>29</v>
      </c>
      <c r="Q2" t="s">
        <v>317</v>
      </c>
      <c r="S2" t="s">
        <v>321</v>
      </c>
      <c r="T2" t="s">
        <v>316</v>
      </c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0EB9F-00D2-4D76-8435-40EB0895C9C3}">
  <sheetPr codeName="Sheet8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C1DF5-7941-46A3-B218-5E89B947A3AF}">
  <sheetPr codeName="Sheet9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307B1-9EFE-428F-A6E4-20FD8F68D83A}">
  <sheetPr codeName="Sheet10"/>
  <dimension ref="A1:T3"/>
  <sheetViews>
    <sheetView topLeftCell="D1" workbookViewId="0">
      <selection activeCell="L32" sqref="L20:V32"/>
    </sheetView>
  </sheetViews>
  <sheetFormatPr defaultRowHeight="15" x14ac:dyDescent="0.25"/>
  <cols>
    <col min="2" max="2" width="19.28515625" customWidth="1"/>
    <col min="3" max="3" width="19.140625" customWidth="1"/>
    <col min="4" max="4" width="28.28515625" customWidth="1"/>
    <col min="5" max="5" width="21.5703125" customWidth="1"/>
    <col min="16" max="16" width="11.140625" customWidth="1"/>
    <col min="17" max="17" width="13.7109375" customWidth="1"/>
    <col min="18" max="18" width="53.7109375" customWidth="1"/>
    <col min="19" max="19" width="13.7109375" customWidth="1"/>
    <col min="20" max="20" width="15.140625" customWidth="1"/>
  </cols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 t="s">
        <v>244</v>
      </c>
      <c r="B2" t="s">
        <v>245</v>
      </c>
      <c r="C2" t="s">
        <v>243</v>
      </c>
      <c r="D2" t="s">
        <v>246</v>
      </c>
      <c r="E2" t="s">
        <v>247</v>
      </c>
      <c r="I2" t="s">
        <v>248</v>
      </c>
      <c r="K2" t="s">
        <v>249</v>
      </c>
      <c r="M2" s="1"/>
      <c r="P2" t="s">
        <v>29</v>
      </c>
      <c r="R2" s="3" t="s">
        <v>293</v>
      </c>
      <c r="S2" t="s">
        <v>266</v>
      </c>
      <c r="T2" t="s">
        <v>267</v>
      </c>
    </row>
    <row r="3" spans="1:20" x14ac:dyDescent="0.25">
      <c r="A3" s="1"/>
    </row>
  </sheetData>
  <hyperlinks>
    <hyperlink ref="E2" r:id="rId1" tooltip="Diodes/Schottky Diodes" display="https://lcsc.com/products/Schottky-Diodes_373.html" xr:uid="{BE907A41-7A80-4279-8F48-0410D33EBD24}"/>
  </hyperlinks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D44FD-A7C4-42AC-814F-C209D046FC0B}">
  <sheetPr codeName="Sheet11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37EF4-EA37-4FD8-BCE0-F14E10529632}">
  <sheetPr codeName="Sheet12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283BB-E277-4C44-B5C3-160D143E1711}">
  <sheetPr codeName="Sheet13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DF977-AB6F-4002-AA11-50E0451B5B8E}">
  <sheetPr codeName="Sheet14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3D9C2-3259-49B9-9810-21D5985AB174}">
  <sheetPr codeName="Sheet15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2B612-C9E0-4B65-89DD-D9B061B119C5}">
  <sheetPr codeName="Sheet16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6677D-C2CA-4F6C-8916-E90F1F816E34}">
  <sheetPr codeName="Sheet17"/>
  <dimension ref="A1:T6"/>
  <sheetViews>
    <sheetView workbookViewId="0">
      <selection activeCell="F26" sqref="F26"/>
    </sheetView>
  </sheetViews>
  <sheetFormatPr defaultRowHeight="15" x14ac:dyDescent="0.25"/>
  <cols>
    <col min="2" max="2" width="14.5703125" customWidth="1"/>
    <col min="3" max="3" width="12.42578125" customWidth="1"/>
    <col min="4" max="4" width="15.85546875" customWidth="1"/>
    <col min="5" max="5" width="19.7109375" customWidth="1"/>
    <col min="8" max="8" width="13.7109375" customWidth="1"/>
    <col min="9" max="9" width="15" customWidth="1"/>
    <col min="10" max="10" width="16.140625" customWidth="1"/>
    <col min="11" max="11" width="13.7109375" customWidth="1"/>
    <col min="15" max="15" width="15.42578125" customWidth="1"/>
    <col min="18" max="18" width="21.140625" customWidth="1"/>
  </cols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 t="s">
        <v>93</v>
      </c>
      <c r="B2" t="s">
        <v>95</v>
      </c>
      <c r="C2" t="s">
        <v>94</v>
      </c>
      <c r="D2" t="s">
        <v>96</v>
      </c>
      <c r="E2" t="s">
        <v>97</v>
      </c>
      <c r="F2" t="s">
        <v>98</v>
      </c>
      <c r="G2" t="str">
        <f>Components456789101112131415161718[[#This Row],[Value]]</f>
        <v>33uH</v>
      </c>
      <c r="H2" t="s">
        <v>99</v>
      </c>
      <c r="I2" t="s">
        <v>100</v>
      </c>
      <c r="K2" s="2" t="s">
        <v>101</v>
      </c>
      <c r="M2" s="1"/>
      <c r="N2" t="s">
        <v>103</v>
      </c>
      <c r="O2" s="2" t="s">
        <v>102</v>
      </c>
    </row>
    <row r="3" spans="1:20" x14ac:dyDescent="0.25">
      <c r="A3" s="1" t="s">
        <v>250</v>
      </c>
      <c r="B3" t="s">
        <v>95</v>
      </c>
      <c r="C3" t="s">
        <v>252</v>
      </c>
      <c r="D3" t="s">
        <v>253</v>
      </c>
      <c r="E3" t="s">
        <v>97</v>
      </c>
      <c r="F3" t="s">
        <v>251</v>
      </c>
      <c r="G3" t="str">
        <f>Components456789101112131415161718[[#This Row],[Value]]</f>
        <v>220uH</v>
      </c>
      <c r="H3" t="s">
        <v>186</v>
      </c>
      <c r="I3" t="s">
        <v>254</v>
      </c>
      <c r="K3" t="s">
        <v>255</v>
      </c>
      <c r="N3" t="s">
        <v>256</v>
      </c>
      <c r="O3" t="s">
        <v>257</v>
      </c>
      <c r="P3" t="s">
        <v>29</v>
      </c>
      <c r="R3" s="14" t="s">
        <v>294</v>
      </c>
      <c r="S3" t="s">
        <v>263</v>
      </c>
      <c r="T3" t="s">
        <v>264</v>
      </c>
    </row>
    <row r="4" spans="1:20" x14ac:dyDescent="0.25">
      <c r="A4" s="1" t="s">
        <v>258</v>
      </c>
      <c r="B4" t="s">
        <v>95</v>
      </c>
      <c r="C4" t="s">
        <v>259</v>
      </c>
      <c r="D4" t="s">
        <v>260</v>
      </c>
      <c r="E4" t="s">
        <v>97</v>
      </c>
      <c r="F4" t="s">
        <v>261</v>
      </c>
      <c r="G4" s="11" t="str">
        <f>Components456789101112131415161718[[#This Row],[Value]]</f>
        <v>22uH</v>
      </c>
      <c r="H4" s="11" t="s">
        <v>186</v>
      </c>
      <c r="I4" s="11" t="s">
        <v>262</v>
      </c>
      <c r="K4" t="s">
        <v>255</v>
      </c>
      <c r="N4" t="s">
        <v>256</v>
      </c>
      <c r="O4" t="s">
        <v>257</v>
      </c>
      <c r="P4" t="s">
        <v>29</v>
      </c>
      <c r="R4" s="14" t="s">
        <v>295</v>
      </c>
      <c r="S4" t="s">
        <v>263</v>
      </c>
      <c r="T4" t="s">
        <v>264</v>
      </c>
    </row>
    <row r="5" spans="1:20" x14ac:dyDescent="0.25">
      <c r="A5" s="1" t="s">
        <v>322</v>
      </c>
      <c r="B5" t="s">
        <v>31</v>
      </c>
      <c r="C5" t="s">
        <v>323</v>
      </c>
      <c r="D5" t="s">
        <v>324</v>
      </c>
      <c r="E5" t="s">
        <v>325</v>
      </c>
      <c r="F5" t="s">
        <v>251</v>
      </c>
      <c r="G5" s="11" t="str">
        <f>Components456789101112131415161718[[#This Row],[Value]]</f>
        <v>220uH</v>
      </c>
      <c r="H5" s="11" t="s">
        <v>186</v>
      </c>
      <c r="I5" s="11" t="s">
        <v>326</v>
      </c>
      <c r="K5" s="11" t="s">
        <v>328</v>
      </c>
      <c r="N5" t="s">
        <v>103</v>
      </c>
      <c r="O5" t="s">
        <v>327</v>
      </c>
      <c r="P5" t="s">
        <v>29</v>
      </c>
      <c r="R5" t="s">
        <v>329</v>
      </c>
      <c r="S5" t="s">
        <v>263</v>
      </c>
      <c r="T5" t="s">
        <v>335</v>
      </c>
    </row>
    <row r="6" spans="1:20" x14ac:dyDescent="0.25">
      <c r="A6" s="1" t="s">
        <v>330</v>
      </c>
      <c r="B6" t="s">
        <v>31</v>
      </c>
      <c r="C6" t="s">
        <v>331</v>
      </c>
      <c r="D6" t="s">
        <v>332</v>
      </c>
      <c r="E6" t="s">
        <v>325</v>
      </c>
      <c r="F6" t="s">
        <v>261</v>
      </c>
      <c r="G6" s="11" t="str">
        <f>Components456789101112131415161718[[#This Row],[Value]]</f>
        <v>22uH</v>
      </c>
      <c r="H6" s="11" t="s">
        <v>99</v>
      </c>
      <c r="I6" s="11" t="s">
        <v>333</v>
      </c>
      <c r="K6" s="11" t="s">
        <v>328</v>
      </c>
      <c r="N6" t="s">
        <v>103</v>
      </c>
      <c r="O6" t="s">
        <v>327</v>
      </c>
      <c r="P6" t="s">
        <v>29</v>
      </c>
      <c r="R6" t="s">
        <v>334</v>
      </c>
      <c r="S6" t="s">
        <v>263</v>
      </c>
      <c r="T6" t="s">
        <v>335</v>
      </c>
    </row>
  </sheetData>
  <phoneticPr fontId="2" type="noConversion"/>
  <hyperlinks>
    <hyperlink ref="E2" r:id="rId1" tooltip="Inductors, Coils, Chokes/Inductors (SMD)" display="https://lcsc.com/products/Inductors-SMD_337.html" xr:uid="{9D404DC9-1E15-4BB6-B5EC-1971AA6601D2}"/>
    <hyperlink ref="E3" r:id="rId2" tooltip="Inductors, Coils, Chokes/Inductors (SMD)" display="https://lcsc.com/products/Inductors-SMD_337.html" xr:uid="{DC09B4D0-C670-409F-B457-25DA51FF3359}"/>
    <hyperlink ref="E4" r:id="rId3" tooltip="Inductors, Coils, Chokes/Inductors (SMD)" display="https://lcsc.com/products/Inductors-SMD_337.html" xr:uid="{17F5C43A-4B7D-4EC5-BD6E-1EBC1F0043EA}"/>
    <hyperlink ref="R3" r:id="rId4" xr:uid="{25644B86-DD52-4ADC-9FA2-959B9ED79114}"/>
    <hyperlink ref="R4" r:id="rId5" xr:uid="{B1D9CAF6-A463-4FB1-A2D4-7DA18E4A28A9}"/>
    <hyperlink ref="E5" r:id="rId6" display="https://www.digikey.com/en/products/filter/fixed-inductors/71" xr:uid="{5E3816CA-FD5D-446F-B551-C93BF64D9533}"/>
    <hyperlink ref="I5" r:id="rId7" display="https://www.digikey.com/en/products/filter/fixed-inductors/1-6-a/71?s=N4IgjCBcoEwAwA4FVAYygMwIYBsDOApgDQgBuAdlAC4BOArsSAPZQDa4AdAGwAEAgiAC6JAA5UoIAKrkAllQDyGALIEseOjQIgAvrqA" xr:uid="{2C4F185C-45E9-4591-AEA1-269BE26A95E9}"/>
    <hyperlink ref="E6" r:id="rId8" display="https://www.digikey.com/en/products/filter/fixed-inductors/71" xr:uid="{0FD42B2D-C36A-4D3E-A170-017D20C96A09}"/>
    <hyperlink ref="I6" r:id="rId9" display="https://www.digikey.com/en/products/filter/fixed-inductors/4-3-a/71?s=N4IgjCBcoEwAwA4FVAYygMwIYBsDOApgDQgBuAdlAC4BOArsSAPZQDaIALAHQDMABAEEQAXRIAHKlBABVcgEsqAeQwBZAljx0aBEAF99QA" xr:uid="{FE368FFF-4C8C-42A4-BA1E-6CC713189CB4}"/>
  </hyperlinks>
  <pageMargins left="0.7" right="0.7" top="0.75" bottom="0.75" header="0.3" footer="0.3"/>
  <pageSetup orientation="portrait" horizontalDpi="300" verticalDpi="300" r:id="rId10"/>
  <tableParts count="1">
    <tablePart r:id="rId1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63DB9-EA7B-4425-972A-A3B5B7668147}">
  <sheetPr codeName="Sheet18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CC12B-9983-4502-A2CE-ECB0F09BE346}">
  <sheetPr codeName="Sheet19"/>
  <dimension ref="A1:T3"/>
  <sheetViews>
    <sheetView workbookViewId="0">
      <selection activeCell="K18" sqref="K18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ACE78-8527-4345-A0DC-453E63848A0E}">
  <sheetPr codeName="Sheet20"/>
  <dimension ref="A1:T3"/>
  <sheetViews>
    <sheetView workbookViewId="0">
      <selection activeCell="L10" sqref="L10"/>
    </sheetView>
  </sheetViews>
  <sheetFormatPr defaultRowHeight="15" x14ac:dyDescent="0.25"/>
  <cols>
    <col min="2" max="2" width="14" customWidth="1"/>
    <col min="3" max="3" width="16.7109375" customWidth="1"/>
    <col min="4" max="4" width="20.5703125" customWidth="1"/>
    <col min="5" max="5" width="16.7109375" customWidth="1"/>
    <col min="8" max="8" width="11.85546875" customWidth="1"/>
    <col min="9" max="9" width="12.140625" customWidth="1"/>
    <col min="10" max="10" width="13.5703125" customWidth="1"/>
    <col min="11" max="11" width="16.140625" customWidth="1"/>
    <col min="16" max="16" width="13" customWidth="1"/>
    <col min="17" max="17" width="15.140625" customWidth="1"/>
    <col min="18" max="18" width="15.28515625" customWidth="1"/>
  </cols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 t="s">
        <v>306</v>
      </c>
      <c r="B2" t="s">
        <v>307</v>
      </c>
      <c r="C2" t="s">
        <v>308</v>
      </c>
      <c r="D2" t="s">
        <v>309</v>
      </c>
      <c r="E2" t="s">
        <v>310</v>
      </c>
      <c r="I2" t="s">
        <v>311</v>
      </c>
      <c r="J2" t="s">
        <v>312</v>
      </c>
      <c r="K2" s="2" t="s">
        <v>313</v>
      </c>
      <c r="M2" s="1"/>
      <c r="P2" t="s">
        <v>29</v>
      </c>
      <c r="R2" t="s">
        <v>314</v>
      </c>
      <c r="S2" t="s">
        <v>319</v>
      </c>
      <c r="T2" t="s">
        <v>320</v>
      </c>
    </row>
    <row r="3" spans="1:20" x14ac:dyDescent="0.25">
      <c r="A3" s="1"/>
    </row>
  </sheetData>
  <hyperlinks>
    <hyperlink ref="E2" r:id="rId1" tooltip="Optoelectronics/LED Indication - Discrete" display="https://lcsc.com/products/LED-Indication-Discrete_528.html" xr:uid="{6FE1D0EF-5F0C-4C60-B29D-77D22E65F764}"/>
  </hyperlinks>
  <pageMargins left="0.7" right="0.7" top="0.75" bottom="0.75" header="0.3" footer="0.3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84C80-8554-49C3-A6D2-ED18703BA9ED}">
  <sheetPr codeName="Sheet21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70FEF-8660-4FD2-91C7-F91EFF3EF4D3}">
  <sheetPr codeName="Sheet22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AB968-4EB7-45E1-9856-5FB47FAE106D}">
  <sheetPr codeName="Sheet23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BD12B-22F0-4491-A236-44C9C4C92D96}">
  <sheetPr codeName="Sheet24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4B328-27FD-4116-A89B-E9C3B711FEC4}">
  <sheetPr codeName="Sheet25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C8F89-9147-48A1-9F5E-CFB0529735FB}">
  <sheetPr codeName="Sheet26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B6C5B-0BD7-476D-B01A-E92E88858592}">
  <sheetPr codeName="Sheet27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23500-1764-4EE5-99F5-E441274A6951}">
  <sheetPr codeName="Sheet28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C213F-B77C-4B68-A91C-DEB4CD2FC020}">
  <sheetPr codeName="Sheet29"/>
  <dimension ref="A1:T7"/>
  <sheetViews>
    <sheetView topLeftCell="J1" workbookViewId="0">
      <selection activeCell="R17" sqref="R17"/>
    </sheetView>
  </sheetViews>
  <sheetFormatPr defaultRowHeight="15" x14ac:dyDescent="0.25"/>
  <cols>
    <col min="2" max="2" width="14.42578125" customWidth="1"/>
    <col min="3" max="3" width="15" customWidth="1"/>
    <col min="4" max="4" width="45.140625" style="3" customWidth="1"/>
    <col min="5" max="5" width="23" customWidth="1"/>
    <col min="7" max="7" width="15.28515625" customWidth="1"/>
    <col min="8" max="8" width="13.85546875" customWidth="1"/>
    <col min="9" max="9" width="13.7109375" customWidth="1"/>
    <col min="10" max="10" width="19.140625" customWidth="1"/>
    <col min="11" max="11" width="14" customWidth="1"/>
    <col min="12" max="12" width="12.140625" customWidth="1"/>
    <col min="16" max="16" width="14.42578125" customWidth="1"/>
    <col min="17" max="17" width="69.85546875" customWidth="1"/>
    <col min="18" max="18" width="63.28515625" customWidth="1"/>
    <col min="19" max="19" width="19.140625" customWidth="1"/>
    <col min="20" max="20" width="18.42578125" customWidth="1"/>
  </cols>
  <sheetData>
    <row r="1" spans="1:20" x14ac:dyDescent="0.25">
      <c r="A1" t="s">
        <v>7</v>
      </c>
      <c r="B1" t="s">
        <v>5</v>
      </c>
      <c r="C1" t="s">
        <v>273</v>
      </c>
      <c r="D1" s="3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ht="16.5" x14ac:dyDescent="0.3">
      <c r="A2" s="1" t="s">
        <v>78</v>
      </c>
      <c r="B2" s="8" t="s">
        <v>84</v>
      </c>
      <c r="C2" s="8" t="s">
        <v>79</v>
      </c>
      <c r="D2" s="8" t="s">
        <v>80</v>
      </c>
      <c r="E2" s="3"/>
      <c r="G2">
        <f>Components456789101112131415161718192021222324252627282930[[#This Row],[Value]]</f>
        <v>0</v>
      </c>
      <c r="I2" s="9" t="s">
        <v>83</v>
      </c>
      <c r="J2" s="9" t="s">
        <v>82</v>
      </c>
      <c r="K2" s="7" t="s">
        <v>81</v>
      </c>
      <c r="M2" s="1"/>
      <c r="P2" t="s">
        <v>29</v>
      </c>
      <c r="Q2" s="12"/>
      <c r="R2" s="12" t="s">
        <v>274</v>
      </c>
      <c r="S2" t="s">
        <v>220</v>
      </c>
      <c r="T2" t="s">
        <v>221</v>
      </c>
    </row>
    <row r="3" spans="1:20" ht="16.5" x14ac:dyDescent="0.25">
      <c r="A3" s="1" t="s">
        <v>90</v>
      </c>
      <c r="B3" s="1" t="s">
        <v>86</v>
      </c>
      <c r="C3" t="s">
        <v>87</v>
      </c>
      <c r="D3" s="3" t="s">
        <v>336</v>
      </c>
      <c r="E3" t="s">
        <v>337</v>
      </c>
      <c r="G3">
        <f>Components456789101112131415161718192021222324252627282930[[#This Row],[Value]]</f>
        <v>0</v>
      </c>
      <c r="I3" s="3" t="s">
        <v>89</v>
      </c>
      <c r="K3" s="2" t="s">
        <v>88</v>
      </c>
      <c r="M3" s="1"/>
      <c r="P3" t="s">
        <v>29</v>
      </c>
      <c r="Q3" s="15" t="s">
        <v>275</v>
      </c>
      <c r="R3" s="15" t="s">
        <v>276</v>
      </c>
      <c r="S3" t="s">
        <v>91</v>
      </c>
      <c r="T3" s="3" t="s">
        <v>30</v>
      </c>
    </row>
    <row r="4" spans="1:20" ht="15.75" x14ac:dyDescent="0.3">
      <c r="A4" s="1" t="s">
        <v>173</v>
      </c>
      <c r="B4" t="s">
        <v>175</v>
      </c>
      <c r="C4" t="s">
        <v>174</v>
      </c>
      <c r="D4" t="s">
        <v>176</v>
      </c>
      <c r="E4" t="s">
        <v>177</v>
      </c>
      <c r="F4" t="s">
        <v>181</v>
      </c>
      <c r="G4" t="str">
        <f>Components456789101112131415161718192021222324252627282930[[#This Row],[Value]]</f>
        <v>±15V</v>
      </c>
      <c r="I4" s="9" t="s">
        <v>179</v>
      </c>
      <c r="J4" s="9" t="s">
        <v>180</v>
      </c>
      <c r="K4" t="s">
        <v>178</v>
      </c>
      <c r="M4" s="1"/>
      <c r="P4" t="s">
        <v>29</v>
      </c>
      <c r="Q4" s="3"/>
      <c r="R4" s="13" t="s">
        <v>277</v>
      </c>
      <c r="S4" t="s">
        <v>222</v>
      </c>
      <c r="T4" s="3" t="s">
        <v>223</v>
      </c>
    </row>
    <row r="5" spans="1:20" x14ac:dyDescent="0.25">
      <c r="A5" s="1"/>
      <c r="G5" s="11">
        <f>Components456789101112131415161718192021222324252627282930[[#This Row],[Value]]</f>
        <v>0</v>
      </c>
    </row>
    <row r="7" spans="1:20" x14ac:dyDescent="0.25">
      <c r="Q7" s="12"/>
    </row>
  </sheetData>
  <hyperlinks>
    <hyperlink ref="B2" r:id="rId1" display="https://www.bestbom.com/suppliers/mornsun.html" xr:uid="{23D6AB4A-C2FE-4C87-8153-6DB212D2E131}"/>
    <hyperlink ref="B3" r:id="rId2" tooltip="XLSEMI Details page" display="https://lcsc.com/brand-detail/445.html" xr:uid="{E9B029E8-A4D5-4527-801E-F7E4A3A8EDF2}"/>
    <hyperlink ref="R4" r:id="rId3" xr:uid="{CD1032FB-8CCE-406F-89B2-1401427679D8}"/>
    <hyperlink ref="R2" r:id="rId4" xr:uid="{5526F451-3AB5-4741-96BD-2F3C0515ED0B}"/>
    <hyperlink ref="E3" r:id="rId5" tooltip="Power Management (PMIC)/DC-DC Converters" display="https://lcsc.com/products/DC-DC-Converters_484.html" xr:uid="{8005FF48-8D6F-46B7-A7F9-E16278D104EB}"/>
  </hyperlinks>
  <pageMargins left="0.7" right="0.7" top="0.75" bottom="0.75" header="0.3" footer="0.3"/>
  <pageSetup orientation="portrait" horizontalDpi="300" verticalDpi="300" r:id="rId6"/>
  <tableParts count="1">
    <tablePart r:id="rId7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32568-22A4-412F-A506-79AD1D7B06F0}">
  <sheetPr codeName="Sheet30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DCD03-9A0E-40D2-A422-D530F4841C48}">
  <sheetPr codeName="Sheet31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4B58-C0DE-4518-BE82-DE91FD7F6421}">
  <dimension ref="A1:T11"/>
  <sheetViews>
    <sheetView zoomScaleNormal="100" workbookViewId="0">
      <selection activeCell="K28" sqref="K28"/>
    </sheetView>
  </sheetViews>
  <sheetFormatPr defaultRowHeight="15" x14ac:dyDescent="0.25"/>
  <cols>
    <col min="2" max="2" width="15" customWidth="1"/>
    <col min="3" max="3" width="19.140625" customWidth="1"/>
    <col min="4" max="4" width="45.7109375" customWidth="1"/>
    <col min="5" max="5" width="44.42578125" customWidth="1"/>
    <col min="17" max="17" width="18" customWidth="1"/>
    <col min="18" max="18" width="78.5703125" customWidth="1"/>
    <col min="19" max="19" width="28.28515625" customWidth="1"/>
    <col min="20" max="20" width="21.140625" customWidth="1"/>
  </cols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 t="s">
        <v>85</v>
      </c>
      <c r="B2" s="1" t="s">
        <v>31</v>
      </c>
      <c r="C2" s="1" t="s">
        <v>34</v>
      </c>
      <c r="D2" s="1" t="s">
        <v>32</v>
      </c>
      <c r="E2" s="1" t="s">
        <v>33</v>
      </c>
      <c r="F2" s="1" t="s">
        <v>35</v>
      </c>
      <c r="G2" s="1" t="str">
        <f t="shared" ref="G2:G3" si="0">F2</f>
        <v>50K</v>
      </c>
      <c r="H2" s="1" t="s">
        <v>16</v>
      </c>
      <c r="I2" s="1"/>
      <c r="J2" s="1" t="s">
        <v>36</v>
      </c>
      <c r="K2" s="2"/>
      <c r="L2" s="1" t="s">
        <v>37</v>
      </c>
      <c r="M2" s="1"/>
      <c r="N2" s="1"/>
      <c r="O2" t="s">
        <v>38</v>
      </c>
      <c r="P2" s="1" t="s">
        <v>29</v>
      </c>
      <c r="Q2" s="12" t="s">
        <v>39</v>
      </c>
      <c r="R2" t="s">
        <v>296</v>
      </c>
      <c r="S2" s="1" t="s">
        <v>92</v>
      </c>
      <c r="T2" s="4" t="s">
        <v>229</v>
      </c>
    </row>
    <row r="3" spans="1:20" x14ac:dyDescent="0.25">
      <c r="A3" s="1" t="s">
        <v>104</v>
      </c>
      <c r="B3" t="s">
        <v>105</v>
      </c>
      <c r="C3" t="s">
        <v>106</v>
      </c>
      <c r="D3" t="s">
        <v>107</v>
      </c>
      <c r="E3" s="1" t="s">
        <v>108</v>
      </c>
      <c r="F3" t="s">
        <v>109</v>
      </c>
      <c r="G3" s="1" t="str">
        <f t="shared" si="0"/>
        <v>10K</v>
      </c>
      <c r="H3" s="1" t="s">
        <v>110</v>
      </c>
      <c r="I3" s="1" t="s">
        <v>111</v>
      </c>
      <c r="J3" s="1" t="s">
        <v>112</v>
      </c>
      <c r="K3" s="1" t="s">
        <v>113</v>
      </c>
      <c r="P3" t="s">
        <v>29</v>
      </c>
      <c r="R3" s="4" t="s">
        <v>297</v>
      </c>
      <c r="S3" t="s">
        <v>224</v>
      </c>
      <c r="T3" t="s">
        <v>226</v>
      </c>
    </row>
    <row r="4" spans="1:20" x14ac:dyDescent="0.25">
      <c r="A4" s="1" t="s">
        <v>114</v>
      </c>
      <c r="B4" t="s">
        <v>105</v>
      </c>
      <c r="C4" t="s">
        <v>117</v>
      </c>
      <c r="D4" t="s">
        <v>115</v>
      </c>
      <c r="E4" t="s">
        <v>108</v>
      </c>
      <c r="F4" t="s">
        <v>116</v>
      </c>
      <c r="G4" t="str">
        <f t="shared" ref="G4:G9" si="1">F4</f>
        <v>4.7kΩ</v>
      </c>
      <c r="H4" t="s">
        <v>110</v>
      </c>
      <c r="I4" t="s">
        <v>111</v>
      </c>
      <c r="J4" t="s">
        <v>112</v>
      </c>
      <c r="K4" s="1" t="s">
        <v>113</v>
      </c>
      <c r="P4" t="s">
        <v>29</v>
      </c>
      <c r="R4" s="3" t="s">
        <v>298</v>
      </c>
      <c r="S4" t="s">
        <v>224</v>
      </c>
      <c r="T4" t="s">
        <v>226</v>
      </c>
    </row>
    <row r="5" spans="1:20" x14ac:dyDescent="0.25">
      <c r="A5" s="1" t="s">
        <v>118</v>
      </c>
      <c r="B5" t="s">
        <v>105</v>
      </c>
      <c r="C5" t="s">
        <v>119</v>
      </c>
      <c r="D5" t="s">
        <v>120</v>
      </c>
      <c r="E5" t="s">
        <v>108</v>
      </c>
      <c r="F5" t="s">
        <v>121</v>
      </c>
      <c r="G5" s="1" t="str">
        <f t="shared" si="1"/>
        <v>120Ω</v>
      </c>
      <c r="H5" t="s">
        <v>110</v>
      </c>
      <c r="I5" t="s">
        <v>111</v>
      </c>
      <c r="J5" t="s">
        <v>112</v>
      </c>
      <c r="K5" s="1" t="s">
        <v>113</v>
      </c>
      <c r="P5" t="s">
        <v>29</v>
      </c>
      <c r="R5" s="3" t="s">
        <v>299</v>
      </c>
      <c r="S5" t="s">
        <v>224</v>
      </c>
      <c r="T5" t="s">
        <v>226</v>
      </c>
    </row>
    <row r="6" spans="1:20" x14ac:dyDescent="0.25">
      <c r="A6" s="1" t="s">
        <v>123</v>
      </c>
      <c r="B6" t="s">
        <v>105</v>
      </c>
      <c r="C6" t="s">
        <v>122</v>
      </c>
      <c r="D6" t="s">
        <v>124</v>
      </c>
      <c r="E6" t="s">
        <v>108</v>
      </c>
      <c r="F6" t="s">
        <v>125</v>
      </c>
      <c r="G6" s="1" t="str">
        <f t="shared" si="1"/>
        <v>100kΩ</v>
      </c>
      <c r="H6" t="s">
        <v>110</v>
      </c>
      <c r="I6" t="s">
        <v>111</v>
      </c>
      <c r="J6" t="s">
        <v>112</v>
      </c>
      <c r="K6" s="1" t="s">
        <v>113</v>
      </c>
      <c r="P6" t="s">
        <v>29</v>
      </c>
      <c r="R6" s="3" t="s">
        <v>300</v>
      </c>
      <c r="S6" t="s">
        <v>224</v>
      </c>
      <c r="T6" t="s">
        <v>226</v>
      </c>
    </row>
    <row r="7" spans="1:20" x14ac:dyDescent="0.25">
      <c r="A7" s="1" t="s">
        <v>127</v>
      </c>
      <c r="B7" t="s">
        <v>105</v>
      </c>
      <c r="C7" t="s">
        <v>126</v>
      </c>
      <c r="D7" t="s">
        <v>128</v>
      </c>
      <c r="E7" t="s">
        <v>108</v>
      </c>
      <c r="F7" t="s">
        <v>131</v>
      </c>
      <c r="G7" s="1" t="str">
        <f t="shared" si="1"/>
        <v>22kΩ</v>
      </c>
      <c r="H7" t="s">
        <v>110</v>
      </c>
      <c r="I7" t="s">
        <v>130</v>
      </c>
      <c r="J7" t="s">
        <v>129</v>
      </c>
      <c r="K7" s="1" t="s">
        <v>139</v>
      </c>
      <c r="P7" t="s">
        <v>29</v>
      </c>
      <c r="R7" s="3" t="s">
        <v>301</v>
      </c>
      <c r="S7" t="s">
        <v>224</v>
      </c>
      <c r="T7" t="s">
        <v>227</v>
      </c>
    </row>
    <row r="8" spans="1:20" x14ac:dyDescent="0.25">
      <c r="A8" s="1" t="s">
        <v>132</v>
      </c>
      <c r="B8" t="s">
        <v>31</v>
      </c>
      <c r="C8" t="s">
        <v>133</v>
      </c>
      <c r="D8" t="s">
        <v>32</v>
      </c>
      <c r="E8" t="s">
        <v>33</v>
      </c>
      <c r="F8" s="1" t="s">
        <v>35</v>
      </c>
      <c r="G8" s="1" t="str">
        <f t="shared" si="1"/>
        <v>50K</v>
      </c>
      <c r="H8" s="1" t="s">
        <v>16</v>
      </c>
      <c r="J8" s="1" t="s">
        <v>36</v>
      </c>
      <c r="L8" t="s">
        <v>37</v>
      </c>
      <c r="O8" t="s">
        <v>134</v>
      </c>
      <c r="P8" t="s">
        <v>29</v>
      </c>
      <c r="R8" s="3" t="s">
        <v>302</v>
      </c>
      <c r="S8" t="s">
        <v>225</v>
      </c>
      <c r="T8" t="s">
        <v>228</v>
      </c>
    </row>
    <row r="9" spans="1:20" x14ac:dyDescent="0.25">
      <c r="A9" s="1" t="s">
        <v>135</v>
      </c>
      <c r="B9" t="s">
        <v>105</v>
      </c>
      <c r="C9" t="s">
        <v>136</v>
      </c>
      <c r="D9" t="s">
        <v>137</v>
      </c>
      <c r="E9" t="s">
        <v>108</v>
      </c>
      <c r="F9" t="s">
        <v>138</v>
      </c>
      <c r="G9" s="1" t="str">
        <f t="shared" si="1"/>
        <v>47Ω</v>
      </c>
      <c r="H9" t="s">
        <v>110</v>
      </c>
      <c r="I9" t="s">
        <v>130</v>
      </c>
      <c r="J9" t="s">
        <v>129</v>
      </c>
      <c r="K9" s="1" t="s">
        <v>139</v>
      </c>
      <c r="P9" t="s">
        <v>29</v>
      </c>
      <c r="R9" s="3" t="s">
        <v>303</v>
      </c>
      <c r="S9" t="s">
        <v>224</v>
      </c>
      <c r="T9" t="s">
        <v>227</v>
      </c>
    </row>
    <row r="10" spans="1:20" x14ac:dyDescent="0.25">
      <c r="A10" s="1" t="s">
        <v>268</v>
      </c>
      <c r="B10" t="s">
        <v>105</v>
      </c>
      <c r="C10" t="s">
        <v>238</v>
      </c>
      <c r="D10" t="s">
        <v>239</v>
      </c>
      <c r="E10" t="s">
        <v>108</v>
      </c>
      <c r="F10" t="s">
        <v>240</v>
      </c>
      <c r="G10" s="11" t="str">
        <f>F10</f>
        <v> 2kΩ</v>
      </c>
      <c r="H10" t="s">
        <v>110</v>
      </c>
      <c r="I10" s="11" t="s">
        <v>111</v>
      </c>
      <c r="K10" s="2" t="s">
        <v>113</v>
      </c>
      <c r="P10" t="s">
        <v>29</v>
      </c>
      <c r="R10" s="3" t="s">
        <v>304</v>
      </c>
      <c r="S10" t="s">
        <v>224</v>
      </c>
      <c r="T10" t="s">
        <v>226</v>
      </c>
    </row>
    <row r="11" spans="1:20" x14ac:dyDescent="0.25">
      <c r="A11" s="1" t="s">
        <v>269</v>
      </c>
      <c r="B11" t="s">
        <v>105</v>
      </c>
      <c r="C11" t="s">
        <v>270</v>
      </c>
      <c r="D11" t="s">
        <v>271</v>
      </c>
      <c r="E11" t="s">
        <v>108</v>
      </c>
      <c r="F11" t="s">
        <v>272</v>
      </c>
      <c r="G11" s="1" t="str">
        <f>F11</f>
        <v>2.2kΩ</v>
      </c>
      <c r="H11" s="1" t="s">
        <v>110</v>
      </c>
      <c r="I11" s="11" t="s">
        <v>111</v>
      </c>
      <c r="K11" s="2" t="s">
        <v>113</v>
      </c>
      <c r="P11" t="s">
        <v>29</v>
      </c>
      <c r="R11" s="3" t="s">
        <v>305</v>
      </c>
      <c r="S11" t="s">
        <v>224</v>
      </c>
      <c r="T11" t="s">
        <v>226</v>
      </c>
    </row>
  </sheetData>
  <phoneticPr fontId="2" type="noConversion"/>
  <hyperlinks>
    <hyperlink ref="E2" r:id="rId1" display="https://www.digikey.com/en/products/filter/rotary-potentiometers-rheostats/84" xr:uid="{0591D5B7-FEC8-4E48-A8D1-1A70717C601D}"/>
    <hyperlink ref="E3" r:id="rId2" tooltip="Resistors/Chip Resistor - Surface Mount" display="https://lcsc.com/products/Chip-Resistor-Surface-Mount_439.html" xr:uid="{9D9C02DC-B1AA-4F35-B523-DE54078B89DF}"/>
    <hyperlink ref="E4" r:id="rId3" tooltip="Resistors/Chip Resistor - Surface Mount" display="https://lcsc.com/products/Chip-Resistor-Surface-Mount_439.html" xr:uid="{FFC88FF9-59C9-46C8-9DD5-F86966BB582C}"/>
    <hyperlink ref="E5" r:id="rId4" tooltip="Resistors/Chip Resistor - Surface Mount" display="https://lcsc.com/products/Chip-Resistor-Surface-Mount_439.html" xr:uid="{115B5FA4-48ED-4223-8533-DEC0A9F69565}"/>
    <hyperlink ref="E6" r:id="rId5" tooltip="Resistors/Chip Resistor - Surface Mount" display="https://lcsc.com/products/Chip-Resistor-Surface-Mount_439.html" xr:uid="{F35FE586-66B1-49DF-8A27-B3DE5CE8B95C}"/>
    <hyperlink ref="E7" r:id="rId6" tooltip="Resistors/Chip Resistor - Surface Mount" display="https://lcsc.com/products/Chip-Resistor-Surface-Mount_439.html" xr:uid="{0F8550E9-EB2E-4E82-89A4-B3D624C7DF00}"/>
    <hyperlink ref="E8" r:id="rId7" display="https://www.digikey.com/en/products/filter/rotary-potentiometers-rheostats/84" xr:uid="{D0F2246E-16DF-4301-94B4-8F2E7FF0853E}"/>
    <hyperlink ref="E9" r:id="rId8" tooltip="Resistors/Chip Resistor - Surface Mount" display="https://lcsc.com/products/Chip-Resistor-Surface-Mount_439.html" xr:uid="{80051F9F-386D-4E2D-865B-AD6EDEB04C59}"/>
    <hyperlink ref="E10" r:id="rId9" tooltip="Resistors/Chip Resistor - Surface Mount" display="https://lcsc.com/products/Chip-Resistor-Surface-Mount_439.html" xr:uid="{40B0014E-A24B-42A0-B4EF-7C2B7BB5AAE5}"/>
    <hyperlink ref="E11" r:id="rId10" tooltip="Resistors/Chip Resistor - Surface Mount" display="https://lcsc.com/products/Chip-Resistor-Surface-Mount_439.html" xr:uid="{EDC67C1B-2E8B-4507-976D-34D5D0C74A7B}"/>
    <hyperlink ref="Q2" r:id="rId11" xr:uid="{5C652C2F-07A5-4B45-BDC2-CC1496E61E3C}"/>
  </hyperlinks>
  <pageMargins left="0.7" right="0.7" top="0.75" bottom="0.75" header="0.3" footer="0.3"/>
  <pageSetup orientation="portrait" horizontalDpi="300" verticalDpi="300" r:id="rId12"/>
  <tableParts count="1">
    <tablePart r:id="rId1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8A2F9-A15C-4A08-A209-E2FB9C735BCB}">
  <sheetPr codeName="Sheet33"/>
  <dimension ref="A1:T7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  <row r="7" spans="1:20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2"/>
      <c r="L7" s="1"/>
      <c r="M7" s="1"/>
      <c r="N7" s="1"/>
      <c r="P7" s="1"/>
      <c r="S7" s="1"/>
      <c r="T7" s="4"/>
    </row>
  </sheetData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914B9-7117-4353-B339-7C355AFB9C1C}">
  <sheetPr codeName="Sheet34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BE7C0-FBC8-4CFE-8378-130C9397E465}">
  <sheetPr codeName="Sheet35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BA352-C9E4-4969-9745-3B522D73593B}">
  <sheetPr codeName="Sheet36"/>
  <dimension ref="A1:T3"/>
  <sheetViews>
    <sheetView workbookViewId="0">
      <selection activeCell="I31" sqref="I31"/>
    </sheetView>
  </sheetViews>
  <sheetFormatPr defaultRowHeight="15" x14ac:dyDescent="0.25"/>
  <cols>
    <col min="2" max="2" width="10.140625" customWidth="1"/>
    <col min="3" max="3" width="10.28515625" customWidth="1"/>
    <col min="4" max="4" width="17.85546875" customWidth="1"/>
    <col min="5" max="5" width="20" customWidth="1"/>
    <col min="6" max="6" width="7.85546875" customWidth="1"/>
    <col min="7" max="7" width="9.85546875" customWidth="1"/>
    <col min="8" max="8" width="11.28515625" customWidth="1"/>
    <col min="9" max="9" width="13.140625" customWidth="1"/>
    <col min="10" max="10" width="15.140625" customWidth="1"/>
    <col min="11" max="11" width="10.7109375" customWidth="1"/>
    <col min="12" max="12" width="9.5703125" customWidth="1"/>
    <col min="15" max="15" width="20.140625" customWidth="1"/>
    <col min="16" max="16" width="20" customWidth="1"/>
    <col min="17" max="17" width="16.85546875" customWidth="1"/>
    <col min="18" max="18" width="17.140625" customWidth="1"/>
  </cols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B2" s="1"/>
      <c r="D2" s="3"/>
      <c r="E2" s="3"/>
      <c r="I2" s="3"/>
      <c r="K2" s="2"/>
      <c r="M2" s="1"/>
      <c r="Q2" s="3"/>
      <c r="R2" s="3"/>
    </row>
    <row r="3" spans="1:20" x14ac:dyDescent="0.25">
      <c r="A3" s="1"/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963E961-1E5E-4F58-B89D-C851978524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Information</vt:lpstr>
      <vt:lpstr>001 Amplifiers</vt:lpstr>
      <vt:lpstr>002 Audio</vt:lpstr>
      <vt:lpstr>003 Battery</vt:lpstr>
      <vt:lpstr>004 Capacitors</vt:lpstr>
      <vt:lpstr>005 Clock</vt:lpstr>
      <vt:lpstr>006 Connectors</vt:lpstr>
      <vt:lpstr>007 Controller</vt:lpstr>
      <vt:lpstr>008 Current - regulation</vt:lpstr>
      <vt:lpstr>009 Diode</vt:lpstr>
      <vt:lpstr>010 Display Modules</vt:lpstr>
      <vt:lpstr>011 Embedded</vt:lpstr>
      <vt:lpstr>012 Encoders</vt:lpstr>
      <vt:lpstr>013 Filters</vt:lpstr>
      <vt:lpstr>014 Fuses</vt:lpstr>
      <vt:lpstr>015 Hardware </vt:lpstr>
      <vt:lpstr>016 Inductors</vt:lpstr>
      <vt:lpstr>017 Interface</vt:lpstr>
      <vt:lpstr>018 Isolators</vt:lpstr>
      <vt:lpstr>019 LED </vt:lpstr>
      <vt:lpstr>020 Logic </vt:lpstr>
      <vt:lpstr>021 MOSFET</vt:lpstr>
      <vt:lpstr>022 Memory</vt:lpstr>
      <vt:lpstr>023 Motor Drivers Controller</vt:lpstr>
      <vt:lpstr>024 Optics</vt:lpstr>
      <vt:lpstr>025 Optoelectronics</vt:lpstr>
      <vt:lpstr>026 Optoisolators</vt:lpstr>
      <vt:lpstr>027 Osillators</vt:lpstr>
      <vt:lpstr>028 Power</vt:lpstr>
      <vt:lpstr>029 RF</vt:lpstr>
      <vt:lpstr>030 Relays</vt:lpstr>
      <vt:lpstr>031 Resistors</vt:lpstr>
      <vt:lpstr>032 Sensors</vt:lpstr>
      <vt:lpstr>033 Switches</vt:lpstr>
      <vt:lpstr>034 Transistors</vt:lpstr>
      <vt:lpstr>035 Voltage Regulators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</dc:creator>
  <cp:lastModifiedBy>Administrator</cp:lastModifiedBy>
  <dcterms:created xsi:type="dcterms:W3CDTF">2015-06-05T18:17:20Z</dcterms:created>
  <dcterms:modified xsi:type="dcterms:W3CDTF">2025-07-25T12:05:10Z</dcterms:modified>
</cp:coreProperties>
</file>